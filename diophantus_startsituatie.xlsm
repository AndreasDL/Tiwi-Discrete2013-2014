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5925" yWindow="135" windowWidth="14295" windowHeight="6420" tabRatio="727"/>
  </bookViews>
  <sheets>
    <sheet name="START" sheetId="13" r:id="rId1"/>
    <sheet name="fast_exponentiation" sheetId="5" r:id="rId2"/>
    <sheet name="fast_exp_zonder_mod" sheetId="16" r:id="rId3"/>
    <sheet name="KLAD" sheetId="4" r:id="rId4"/>
    <sheet name="ggd" sheetId="7" r:id="rId5"/>
    <sheet name="lin_vgl" sheetId="19" r:id="rId6"/>
    <sheet name="delers" sheetId="17" r:id="rId7"/>
    <sheet name="euler fie" sheetId="15" r:id="rId8"/>
    <sheet name="berekenA" sheetId="20" r:id="rId9"/>
  </sheets>
  <functionGroups/>
  <definedNames>
    <definedName name="aa">START!$D$6</definedName>
    <definedName name="bb">START!$E$5</definedName>
    <definedName name="berekenA_k">berekenA!$B$4</definedName>
    <definedName name="berekenA_n">berekenA!$B$5</definedName>
    <definedName name="berekenA_phi">berekenA!$B$10</definedName>
    <definedName name="berekenA_u">berekenA!$B$20</definedName>
    <definedName name="berekenA_X">berekenA!$B$3</definedName>
    <definedName name="berekenA_y">berekenA!$B$2</definedName>
    <definedName name="cc">START!$G$6</definedName>
    <definedName name="delers_deeltal">delers!$C$8</definedName>
    <definedName name="delers_grens">delers!$E$8</definedName>
    <definedName name="delers_kleinste_deler">delers!$H$8</definedName>
    <definedName name="eucl_a">ggd!$B$8</definedName>
    <definedName name="eucl_b">ggd!$F$8</definedName>
    <definedName name="eucl_ggd">ggd!$J$8</definedName>
    <definedName name="eucl_x">ggd!$D$8</definedName>
    <definedName name="eucl_y">ggd!$H$8</definedName>
    <definedName name="euler_fie">'euler fie'!$H$8</definedName>
    <definedName name="euler_n">'euler fie'!$C$8</definedName>
    <definedName name="fast_exp_a">fast_exponentiation!$C$9</definedName>
    <definedName name="fast_exp_b">fast_exponentiation!$D$8</definedName>
    <definedName name="fast_exp_c">fast_exponentiation!$H$9</definedName>
    <definedName name="fast_exp_n">fast_exponentiation!$F$9</definedName>
    <definedName name="fast_exp_zonder_a">fast_exp_zonder_mod!$C$9</definedName>
    <definedName name="fast_exp_zonder_b">fast_exp_zonder_mod!$D$8</definedName>
    <definedName name="fast_exp_zonder_c">fast_exp_zonder_mod!$H$9</definedName>
    <definedName name="lin_vgl_a">lin_vgl!$B$9</definedName>
    <definedName name="lin_vgl_b">lin_vgl!$F$9</definedName>
    <definedName name="lin_vgl_c">lin_vgl!$J$9</definedName>
    <definedName name="lin_vgl_x">lin_vgl!$D$13</definedName>
    <definedName name="lin_vgl_y">lin_vgl!$H$13</definedName>
    <definedName name="nerekenA_n">berekenA!$B$5</definedName>
    <definedName name="nn">START!$I$6</definedName>
  </definedNames>
  <calcPr calcId="125725"/>
</workbook>
</file>

<file path=xl/calcChain.xml><?xml version="1.0" encoding="utf-8"?>
<calcChain xmlns="http://schemas.openxmlformats.org/spreadsheetml/2006/main">
  <c r="F9" i="19"/>
  <c r="D12" i="7"/>
  <c r="A17" i="20"/>
  <c r="B9" i="19" s="1"/>
  <c r="D11" i="7" s="1"/>
  <c r="A10" i="20"/>
  <c r="C8" i="15" s="1"/>
  <c r="E22" i="19"/>
  <c r="I18"/>
  <c r="E18"/>
  <c r="I38" i="7"/>
  <c r="D12" i="16"/>
  <c r="A12"/>
  <c r="C12" s="1"/>
  <c r="A13"/>
  <c r="C13" s="1"/>
  <c r="B12"/>
  <c r="A12" i="5"/>
  <c r="A13" s="1"/>
  <c r="H8" i="17"/>
  <c r="H12" i="16" l="1"/>
  <c r="D14" i="7"/>
  <c r="D13"/>
  <c r="A12" i="15"/>
  <c r="A13" s="1"/>
  <c r="B13" i="19"/>
  <c r="B18" s="1"/>
  <c r="B22" s="1"/>
  <c r="B12" i="15"/>
  <c r="B12" i="5"/>
  <c r="E13" i="16"/>
  <c r="A14"/>
  <c r="C14" s="1"/>
  <c r="B13"/>
  <c r="D13" s="1"/>
  <c r="E12"/>
  <c r="B13" i="5"/>
  <c r="A14"/>
  <c r="H13" i="16" l="1"/>
  <c r="D16" i="7"/>
  <c r="B13" i="15"/>
  <c r="A14"/>
  <c r="A15" i="16"/>
  <c r="B14"/>
  <c r="D14" s="1"/>
  <c r="E14"/>
  <c r="A15" i="5"/>
  <c r="B14"/>
  <c r="H14" i="16" l="1"/>
  <c r="A15" i="15"/>
  <c r="B14"/>
  <c r="E15" i="16"/>
  <c r="C15"/>
  <c r="A16"/>
  <c r="B15"/>
  <c r="D15" s="1"/>
  <c r="A16" i="5"/>
  <c r="B15"/>
  <c r="H15" i="16" l="1"/>
  <c r="A16" i="15"/>
  <c r="B15"/>
  <c r="A17" i="16"/>
  <c r="B16"/>
  <c r="D16" s="1"/>
  <c r="E16"/>
  <c r="C16"/>
  <c r="A17" i="5"/>
  <c r="B16"/>
  <c r="A17" i="15" l="1"/>
  <c r="B16"/>
  <c r="E17" i="16"/>
  <c r="C17"/>
  <c r="A18"/>
  <c r="B17"/>
  <c r="D17" s="1"/>
  <c r="A18" i="5"/>
  <c r="B17"/>
  <c r="A18" i="15" l="1"/>
  <c r="B17"/>
  <c r="A19" i="16"/>
  <c r="B18"/>
  <c r="D18" s="1"/>
  <c r="E18"/>
  <c r="C18"/>
  <c r="A19" i="5"/>
  <c r="B18"/>
  <c r="A19" i="15" l="1"/>
  <c r="B18"/>
  <c r="E19" i="16"/>
  <c r="C19"/>
  <c r="A20"/>
  <c r="B19"/>
  <c r="D19" s="1"/>
  <c r="A20" i="5"/>
  <c r="B19"/>
  <c r="A20" i="15" l="1"/>
  <c r="B19"/>
  <c r="A21" i="16"/>
  <c r="B20"/>
  <c r="D20" s="1"/>
  <c r="E20"/>
  <c r="C20"/>
  <c r="A21" i="5"/>
  <c r="B20"/>
  <c r="A21" i="15" l="1"/>
  <c r="B20"/>
  <c r="E21" i="16"/>
  <c r="C21"/>
  <c r="A22"/>
  <c r="B21"/>
  <c r="D21" s="1"/>
  <c r="A22" i="5"/>
  <c r="B21"/>
  <c r="A22" i="15" l="1"/>
  <c r="B21"/>
  <c r="A23" i="16"/>
  <c r="B22"/>
  <c r="D22" s="1"/>
  <c r="E22"/>
  <c r="C22"/>
  <c r="A23" i="5"/>
  <c r="B22"/>
  <c r="A23" i="15" l="1"/>
  <c r="B22"/>
  <c r="E23" i="16"/>
  <c r="C23"/>
  <c r="A24"/>
  <c r="B23"/>
  <c r="D23" s="1"/>
  <c r="A24" i="5"/>
  <c r="B23"/>
  <c r="A24" i="15" l="1"/>
  <c r="B23"/>
  <c r="A25" i="16"/>
  <c r="B24"/>
  <c r="D24" s="1"/>
  <c r="E24"/>
  <c r="C24"/>
  <c r="A25" i="5"/>
  <c r="B24"/>
  <c r="A25" i="15" l="1"/>
  <c r="B24"/>
  <c r="E25" i="16"/>
  <c r="C25"/>
  <c r="A26"/>
  <c r="B25"/>
  <c r="D25" s="1"/>
  <c r="A26" i="5"/>
  <c r="B25"/>
  <c r="A26" i="15" l="1"/>
  <c r="B25"/>
  <c r="A27" i="16"/>
  <c r="B26"/>
  <c r="D26" s="1"/>
  <c r="E26"/>
  <c r="C26"/>
  <c r="A27" i="5"/>
  <c r="B26"/>
  <c r="A27" i="15" l="1"/>
  <c r="B26"/>
  <c r="C27" i="16"/>
  <c r="A28"/>
  <c r="B27"/>
  <c r="D27" s="1"/>
  <c r="A28" i="5"/>
  <c r="B27"/>
  <c r="E27" i="16" l="1"/>
  <c r="A28" i="15"/>
  <c r="B27"/>
  <c r="A29" i="16"/>
  <c r="B28"/>
  <c r="D28" s="1"/>
  <c r="E28"/>
  <c r="C28"/>
  <c r="A29" i="5"/>
  <c r="B28"/>
  <c r="A29" i="15" l="1"/>
  <c r="B28"/>
  <c r="E29" i="16"/>
  <c r="C29"/>
  <c r="A30"/>
  <c r="B29"/>
  <c r="D29" s="1"/>
  <c r="A30" i="5"/>
  <c r="B29"/>
  <c r="A30" i="15" l="1"/>
  <c r="B29"/>
  <c r="A31" i="16"/>
  <c r="B30"/>
  <c r="D30" s="1"/>
  <c r="E30"/>
  <c r="C30"/>
  <c r="A31" i="5"/>
  <c r="B30"/>
  <c r="A31" i="15" l="1"/>
  <c r="B30"/>
  <c r="E31" i="16"/>
  <c r="C31"/>
  <c r="A32"/>
  <c r="B31"/>
  <c r="D31" s="1"/>
  <c r="A32" i="5"/>
  <c r="B31"/>
  <c r="A32" i="15" l="1"/>
  <c r="B31"/>
  <c r="A33" i="16"/>
  <c r="B32"/>
  <c r="D32" s="1"/>
  <c r="E32"/>
  <c r="C32"/>
  <c r="A33" i="5"/>
  <c r="B32"/>
  <c r="A33" i="15" l="1"/>
  <c r="B32"/>
  <c r="E33" i="16"/>
  <c r="C33"/>
  <c r="A34"/>
  <c r="B33"/>
  <c r="D33" s="1"/>
  <c r="A34" i="5"/>
  <c r="B33"/>
  <c r="A34" i="15" l="1"/>
  <c r="B33"/>
  <c r="A35" i="16"/>
  <c r="B34"/>
  <c r="D34" s="1"/>
  <c r="E34"/>
  <c r="C34"/>
  <c r="A35" i="5"/>
  <c r="B34"/>
  <c r="A35" i="15" l="1"/>
  <c r="B34"/>
  <c r="E35" i="16"/>
  <c r="C35"/>
  <c r="A36"/>
  <c r="B35"/>
  <c r="D35" s="1"/>
  <c r="A36" i="5"/>
  <c r="B35"/>
  <c r="A36" i="15" l="1"/>
  <c r="B35"/>
  <c r="A37" i="16"/>
  <c r="B36"/>
  <c r="D36" s="1"/>
  <c r="E36"/>
  <c r="C36"/>
  <c r="A37" i="5"/>
  <c r="B36"/>
  <c r="A37" i="15" l="1"/>
  <c r="B36"/>
  <c r="E37" i="16"/>
  <c r="C37"/>
  <c r="A38"/>
  <c r="B37"/>
  <c r="D37" s="1"/>
  <c r="A38" i="5"/>
  <c r="B37"/>
  <c r="A38" i="15" l="1"/>
  <c r="B37"/>
  <c r="A39" i="16"/>
  <c r="B38"/>
  <c r="D38" s="1"/>
  <c r="E38"/>
  <c r="C38"/>
  <c r="A39" i="5"/>
  <c r="B38"/>
  <c r="A39" i="15" l="1"/>
  <c r="B38"/>
  <c r="E39" i="16"/>
  <c r="C39"/>
  <c r="A40"/>
  <c r="B39"/>
  <c r="D39" s="1"/>
  <c r="A40" i="5"/>
  <c r="B39"/>
  <c r="A40" i="15" l="1"/>
  <c r="B39"/>
  <c r="A41" i="16"/>
  <c r="B40"/>
  <c r="D40" s="1"/>
  <c r="E40"/>
  <c r="C40"/>
  <c r="A41" i="5"/>
  <c r="B40"/>
  <c r="A41" i="15" l="1"/>
  <c r="B40"/>
  <c r="E41" i="16"/>
  <c r="C41"/>
  <c r="A42"/>
  <c r="B41"/>
  <c r="D41" s="1"/>
  <c r="A42" i="5"/>
  <c r="B41"/>
  <c r="A42" i="15" l="1"/>
  <c r="B41"/>
  <c r="A43" i="16"/>
  <c r="B42"/>
  <c r="D42" s="1"/>
  <c r="E42"/>
  <c r="C42"/>
  <c r="A43" i="5"/>
  <c r="B42"/>
  <c r="A43" i="15" l="1"/>
  <c r="B42"/>
  <c r="E43" i="16"/>
  <c r="C43"/>
  <c r="A44"/>
  <c r="B43"/>
  <c r="D43" s="1"/>
  <c r="A44" i="5"/>
  <c r="B43"/>
  <c r="A44" i="15" l="1"/>
  <c r="B43"/>
  <c r="A45" i="16"/>
  <c r="B44"/>
  <c r="D44" s="1"/>
  <c r="E44"/>
  <c r="C44"/>
  <c r="A45" i="5"/>
  <c r="B44"/>
  <c r="A45" i="15" l="1"/>
  <c r="B44"/>
  <c r="E45" i="16"/>
  <c r="C45"/>
  <c r="A46"/>
  <c r="B45"/>
  <c r="D45" s="1"/>
  <c r="A46" i="5"/>
  <c r="B45"/>
  <c r="A46" i="15" l="1"/>
  <c r="B45"/>
  <c r="A47" i="16"/>
  <c r="B46"/>
  <c r="D46" s="1"/>
  <c r="E46"/>
  <c r="C46"/>
  <c r="A47" i="5"/>
  <c r="B46"/>
  <c r="A47" i="15" l="1"/>
  <c r="B46"/>
  <c r="E47" i="16"/>
  <c r="C47"/>
  <c r="A48"/>
  <c r="B47"/>
  <c r="D47" s="1"/>
  <c r="A48" i="5"/>
  <c r="B47"/>
  <c r="A48" i="15" l="1"/>
  <c r="B47"/>
  <c r="A49" i="16"/>
  <c r="B48"/>
  <c r="D48" s="1"/>
  <c r="E48"/>
  <c r="C48"/>
  <c r="A49" i="5"/>
  <c r="B48"/>
  <c r="A49" i="15" l="1"/>
  <c r="B48"/>
  <c r="E49" i="16"/>
  <c r="C49"/>
  <c r="A50"/>
  <c r="B49"/>
  <c r="D49" s="1"/>
  <c r="A50" i="5"/>
  <c r="B49"/>
  <c r="A50" i="15" l="1"/>
  <c r="B49"/>
  <c r="A51" i="16"/>
  <c r="B50"/>
  <c r="D50" s="1"/>
  <c r="E50"/>
  <c r="C50"/>
  <c r="A51" i="5"/>
  <c r="B50"/>
  <c r="A51" i="15" l="1"/>
  <c r="B50"/>
  <c r="E51" i="16"/>
  <c r="C51"/>
  <c r="A52"/>
  <c r="B51"/>
  <c r="D51" s="1"/>
  <c r="A52" i="5"/>
  <c r="B51"/>
  <c r="A52" i="15" l="1"/>
  <c r="B51"/>
  <c r="A53" i="16"/>
  <c r="B52"/>
  <c r="D52" s="1"/>
  <c r="E52"/>
  <c r="C52"/>
  <c r="A53" i="5"/>
  <c r="B52"/>
  <c r="A53" i="15" l="1"/>
  <c r="B52"/>
  <c r="E53" i="16"/>
  <c r="C53"/>
  <c r="A54"/>
  <c r="B53"/>
  <c r="D53" s="1"/>
  <c r="A54" i="5"/>
  <c r="B53"/>
  <c r="A54" i="15" l="1"/>
  <c r="B53"/>
  <c r="A55" i="16"/>
  <c r="B54"/>
  <c r="D54" s="1"/>
  <c r="E54"/>
  <c r="C54"/>
  <c r="A55" i="5"/>
  <c r="B54"/>
  <c r="A55" i="15" l="1"/>
  <c r="B54"/>
  <c r="E55" i="16"/>
  <c r="C55"/>
  <c r="A56"/>
  <c r="B55"/>
  <c r="D55" s="1"/>
  <c r="A56" i="5"/>
  <c r="B55"/>
  <c r="A56" i="15" l="1"/>
  <c r="B55"/>
  <c r="A57" i="16"/>
  <c r="B56"/>
  <c r="D56" s="1"/>
  <c r="E56"/>
  <c r="C56"/>
  <c r="A57" i="5"/>
  <c r="B56"/>
  <c r="A57" i="15" l="1"/>
  <c r="B56"/>
  <c r="E57" i="16"/>
  <c r="C57"/>
  <c r="A58"/>
  <c r="B57"/>
  <c r="D57" s="1"/>
  <c r="A58" i="5"/>
  <c r="B57"/>
  <c r="A58" i="15" l="1"/>
  <c r="B57"/>
  <c r="A59" i="16"/>
  <c r="B58"/>
  <c r="D58" s="1"/>
  <c r="E58"/>
  <c r="C58"/>
  <c r="A59" i="5"/>
  <c r="B58"/>
  <c r="A59" i="15" l="1"/>
  <c r="B58"/>
  <c r="E59" i="16"/>
  <c r="C59"/>
  <c r="A60"/>
  <c r="B59"/>
  <c r="D59" s="1"/>
  <c r="A60" i="5"/>
  <c r="B59"/>
  <c r="A60" i="15" l="1"/>
  <c r="B59"/>
  <c r="A61" i="16"/>
  <c r="B60"/>
  <c r="D60" s="1"/>
  <c r="E60"/>
  <c r="C60"/>
  <c r="A61" i="5"/>
  <c r="B60"/>
  <c r="A61" i="15" l="1"/>
  <c r="B60"/>
  <c r="E61" i="16"/>
  <c r="C61"/>
  <c r="A62"/>
  <c r="B61"/>
  <c r="D61" s="1"/>
  <c r="A62" i="5"/>
  <c r="B61"/>
  <c r="A62" i="15" l="1"/>
  <c r="B61"/>
  <c r="A63" i="16"/>
  <c r="B62"/>
  <c r="D62" s="1"/>
  <c r="E62"/>
  <c r="C62"/>
  <c r="A63" i="5"/>
  <c r="B62"/>
  <c r="A63" i="15" l="1"/>
  <c r="B62"/>
  <c r="E63" i="16"/>
  <c r="C63"/>
  <c r="A64"/>
  <c r="B63"/>
  <c r="D63" s="1"/>
  <c r="A64" i="5"/>
  <c r="B63"/>
  <c r="A64" i="15" l="1"/>
  <c r="B63"/>
  <c r="A65" i="16"/>
  <c r="B64"/>
  <c r="D64" s="1"/>
  <c r="E64"/>
  <c r="C64"/>
  <c r="A65" i="5"/>
  <c r="B64"/>
  <c r="A65" i="15" l="1"/>
  <c r="B64"/>
  <c r="E65" i="16"/>
  <c r="C65"/>
  <c r="A66"/>
  <c r="B65"/>
  <c r="D65" s="1"/>
  <c r="A66" i="5"/>
  <c r="B65"/>
  <c r="A66" i="15" l="1"/>
  <c r="B65"/>
  <c r="A67" i="16"/>
  <c r="B66"/>
  <c r="D66" s="1"/>
  <c r="E66"/>
  <c r="C66"/>
  <c r="A67" i="5"/>
  <c r="B66"/>
  <c r="A67" i="15" l="1"/>
  <c r="B66"/>
  <c r="E67" i="16"/>
  <c r="C67"/>
  <c r="A68"/>
  <c r="B67"/>
  <c r="D67" s="1"/>
  <c r="A68" i="5"/>
  <c r="B67"/>
  <c r="A68" i="15" l="1"/>
  <c r="B67"/>
  <c r="A69" i="16"/>
  <c r="B68"/>
  <c r="D68" s="1"/>
  <c r="E68"/>
  <c r="C68"/>
  <c r="A69" i="5"/>
  <c r="B68"/>
  <c r="A69" i="15" l="1"/>
  <c r="B68"/>
  <c r="E69" i="16"/>
  <c r="C69"/>
  <c r="A70"/>
  <c r="B69"/>
  <c r="D69" s="1"/>
  <c r="A70" i="5"/>
  <c r="B69"/>
  <c r="A70" i="15" l="1"/>
  <c r="B69"/>
  <c r="A71" i="16"/>
  <c r="B70"/>
  <c r="D70" s="1"/>
  <c r="E70"/>
  <c r="C70"/>
  <c r="A71" i="5"/>
  <c r="B70"/>
  <c r="A71" i="15" l="1"/>
  <c r="B70"/>
  <c r="E71" i="16"/>
  <c r="C71"/>
  <c r="A72"/>
  <c r="B71"/>
  <c r="D71" s="1"/>
  <c r="A72" i="5"/>
  <c r="B71"/>
  <c r="A72" i="15" l="1"/>
  <c r="B71"/>
  <c r="A73" i="16"/>
  <c r="B72"/>
  <c r="D72" s="1"/>
  <c r="E72"/>
  <c r="C72"/>
  <c r="A73" i="5"/>
  <c r="B72"/>
  <c r="A73" i="15" l="1"/>
  <c r="B72"/>
  <c r="E73" i="16"/>
  <c r="C73"/>
  <c r="A74"/>
  <c r="B73"/>
  <c r="D73" s="1"/>
  <c r="A74" i="5"/>
  <c r="B73"/>
  <c r="A74" i="15" l="1"/>
  <c r="B73"/>
  <c r="A75" i="16"/>
  <c r="B74"/>
  <c r="D74" s="1"/>
  <c r="E74"/>
  <c r="C74"/>
  <c r="A75" i="5"/>
  <c r="B74"/>
  <c r="A75" i="15" l="1"/>
  <c r="B74"/>
  <c r="E75" i="16"/>
  <c r="C75"/>
  <c r="A76"/>
  <c r="B75"/>
  <c r="D75" s="1"/>
  <c r="A76" i="5"/>
  <c r="B75"/>
  <c r="A76" i="15" l="1"/>
  <c r="B75"/>
  <c r="A77" i="16"/>
  <c r="B76"/>
  <c r="D76" s="1"/>
  <c r="E76"/>
  <c r="C76"/>
  <c r="A77" i="5"/>
  <c r="B76"/>
  <c r="A77" i="15" l="1"/>
  <c r="B76"/>
  <c r="E77" i="16"/>
  <c r="C77"/>
  <c r="A78"/>
  <c r="B77"/>
  <c r="D77" s="1"/>
  <c r="A78" i="5"/>
  <c r="B77"/>
  <c r="A78" i="15" l="1"/>
  <c r="B77"/>
  <c r="A79" i="16"/>
  <c r="B78"/>
  <c r="D78" s="1"/>
  <c r="E78"/>
  <c r="C78"/>
  <c r="A79" i="5"/>
  <c r="B78"/>
  <c r="A79" i="15" l="1"/>
  <c r="B78"/>
  <c r="E79" i="16"/>
  <c r="C79"/>
  <c r="A80"/>
  <c r="B79"/>
  <c r="D79" s="1"/>
  <c r="A80" i="5"/>
  <c r="B79"/>
  <c r="A80" i="15" l="1"/>
  <c r="B79"/>
  <c r="A81" i="16"/>
  <c r="B80"/>
  <c r="D80" s="1"/>
  <c r="E80"/>
  <c r="C80"/>
  <c r="A81" i="5"/>
  <c r="B80"/>
  <c r="A81" i="15" l="1"/>
  <c r="B80"/>
  <c r="E81" i="16"/>
  <c r="C81"/>
  <c r="A82"/>
  <c r="B81"/>
  <c r="D81" s="1"/>
  <c r="A82" i="5"/>
  <c r="B81"/>
  <c r="A82" i="15" l="1"/>
  <c r="B81"/>
  <c r="A83" i="16"/>
  <c r="B82"/>
  <c r="D82" s="1"/>
  <c r="E82"/>
  <c r="C82"/>
  <c r="A83" i="5"/>
  <c r="B82"/>
  <c r="A83" i="15" l="1"/>
  <c r="B82"/>
  <c r="E83" i="16"/>
  <c r="C83"/>
  <c r="A84"/>
  <c r="B83"/>
  <c r="D83" s="1"/>
  <c r="A84" i="5"/>
  <c r="B83"/>
  <c r="A84" i="15" l="1"/>
  <c r="B83"/>
  <c r="A85" i="16"/>
  <c r="B84"/>
  <c r="D84" s="1"/>
  <c r="E84"/>
  <c r="C84"/>
  <c r="A85" i="5"/>
  <c r="B84"/>
  <c r="A85" i="15" l="1"/>
  <c r="B84"/>
  <c r="E85" i="16"/>
  <c r="C85"/>
  <c r="A86"/>
  <c r="B85"/>
  <c r="D85" s="1"/>
  <c r="A86" i="5"/>
  <c r="B85"/>
  <c r="A86" i="15" l="1"/>
  <c r="B85"/>
  <c r="A87" i="16"/>
  <c r="B86"/>
  <c r="D86" s="1"/>
  <c r="E86"/>
  <c r="C86"/>
  <c r="A87" i="5"/>
  <c r="B86"/>
  <c r="A87" i="15" l="1"/>
  <c r="B86"/>
  <c r="E87" i="16"/>
  <c r="C87"/>
  <c r="A88"/>
  <c r="B87"/>
  <c r="D87" s="1"/>
  <c r="A88" i="5"/>
  <c r="B87"/>
  <c r="A88" i="15" l="1"/>
  <c r="B87"/>
  <c r="A89" i="16"/>
  <c r="B88"/>
  <c r="D88" s="1"/>
  <c r="E88"/>
  <c r="C88"/>
  <c r="A89" i="5"/>
  <c r="B88"/>
  <c r="A89" i="15" l="1"/>
  <c r="B88"/>
  <c r="E89" i="16"/>
  <c r="C89"/>
  <c r="A90"/>
  <c r="B89"/>
  <c r="D89" s="1"/>
  <c r="A90" i="5"/>
  <c r="B89"/>
  <c r="A90" i="15" l="1"/>
  <c r="B89"/>
  <c r="A91" i="16"/>
  <c r="B90"/>
  <c r="D90" s="1"/>
  <c r="E90"/>
  <c r="C90"/>
  <c r="A91" i="5"/>
  <c r="B90"/>
  <c r="A91" i="15" l="1"/>
  <c r="B90"/>
  <c r="E91" i="16"/>
  <c r="C91"/>
  <c r="A92"/>
  <c r="B91"/>
  <c r="D91" s="1"/>
  <c r="A92" i="5"/>
  <c r="B91"/>
  <c r="A92" i="15" l="1"/>
  <c r="B91"/>
  <c r="A93" i="16"/>
  <c r="B92"/>
  <c r="D92" s="1"/>
  <c r="E92"/>
  <c r="C92"/>
  <c r="A93" i="5"/>
  <c r="B92"/>
  <c r="A93" i="15" l="1"/>
  <c r="B92"/>
  <c r="E93" i="16"/>
  <c r="C93"/>
  <c r="A94"/>
  <c r="B93"/>
  <c r="D93" s="1"/>
  <c r="A94" i="5"/>
  <c r="B93"/>
  <c r="A94" i="15" l="1"/>
  <c r="B93"/>
  <c r="A95" i="16"/>
  <c r="B94"/>
  <c r="D94" s="1"/>
  <c r="E94"/>
  <c r="C94"/>
  <c r="A95" i="5"/>
  <c r="B94"/>
  <c r="A95" i="15" l="1"/>
  <c r="B94"/>
  <c r="E95" i="16"/>
  <c r="C95"/>
  <c r="A96"/>
  <c r="B95"/>
  <c r="D95" s="1"/>
  <c r="A96" i="5"/>
  <c r="B95"/>
  <c r="A96" i="15" l="1"/>
  <c r="B95"/>
  <c r="B96" i="16"/>
  <c r="D96" s="1"/>
  <c r="E96"/>
  <c r="H9" s="1"/>
  <c r="C96"/>
  <c r="B96" i="5"/>
  <c r="C96" s="1"/>
  <c r="C95" s="1"/>
  <c r="C94" s="1"/>
  <c r="C93" s="1"/>
  <c r="C92" s="1"/>
  <c r="C91" s="1"/>
  <c r="C90" s="1"/>
  <c r="C89" s="1"/>
  <c r="C88" s="1"/>
  <c r="C87" s="1"/>
  <c r="C86" s="1"/>
  <c r="C85" s="1"/>
  <c r="C84" s="1"/>
  <c r="C83" s="1"/>
  <c r="C82" s="1"/>
  <c r="C81" s="1"/>
  <c r="C80" s="1"/>
  <c r="C79" s="1"/>
  <c r="C78" s="1"/>
  <c r="C77" s="1"/>
  <c r="C76" s="1"/>
  <c r="C75" s="1"/>
  <c r="C74" s="1"/>
  <c r="C73" s="1"/>
  <c r="C72" s="1"/>
  <c r="C71" s="1"/>
  <c r="C70" s="1"/>
  <c r="C69" s="1"/>
  <c r="C68" s="1"/>
  <c r="C67" s="1"/>
  <c r="C66" s="1"/>
  <c r="C65" s="1"/>
  <c r="C64" s="1"/>
  <c r="C63" s="1"/>
  <c r="C62" s="1"/>
  <c r="C61" s="1"/>
  <c r="C60" s="1"/>
  <c r="C59" s="1"/>
  <c r="C58" s="1"/>
  <c r="C57" s="1"/>
  <c r="C56" s="1"/>
  <c r="C55" s="1"/>
  <c r="C54" s="1"/>
  <c r="C53" s="1"/>
  <c r="C52" s="1"/>
  <c r="C51" s="1"/>
  <c r="C50" s="1"/>
  <c r="C49" s="1"/>
  <c r="C48" s="1"/>
  <c r="C47" s="1"/>
  <c r="C46" s="1"/>
  <c r="C45" s="1"/>
  <c r="C44" s="1"/>
  <c r="C43" s="1"/>
  <c r="C42" s="1"/>
  <c r="C41" s="1"/>
  <c r="C40" s="1"/>
  <c r="C39" s="1"/>
  <c r="C38" s="1"/>
  <c r="C37" s="1"/>
  <c r="C36" s="1"/>
  <c r="C35" s="1"/>
  <c r="C34" s="1"/>
  <c r="C33" s="1"/>
  <c r="C32" s="1"/>
  <c r="C31" s="1"/>
  <c r="C30" s="1"/>
  <c r="C29" s="1"/>
  <c r="C28" s="1"/>
  <c r="C27" s="1"/>
  <c r="C26" s="1"/>
  <c r="C25" s="1"/>
  <c r="C24" s="1"/>
  <c r="C23" s="1"/>
  <c r="C22" s="1"/>
  <c r="C21" s="1"/>
  <c r="C20" s="1"/>
  <c r="C19" s="1"/>
  <c r="C18" s="1"/>
  <c r="C17" s="1"/>
  <c r="C16" s="1"/>
  <c r="C15" s="1"/>
  <c r="C14" s="1"/>
  <c r="C13" s="1"/>
  <c r="C12" s="1"/>
  <c r="H9" s="1"/>
  <c r="A97" i="15" l="1"/>
  <c r="B96"/>
  <c r="A98" l="1"/>
  <c r="B97"/>
  <c r="A99" l="1"/>
  <c r="B98"/>
  <c r="A100" l="1"/>
  <c r="B99"/>
  <c r="A101" l="1"/>
  <c r="B100"/>
  <c r="A102" l="1"/>
  <c r="B101"/>
  <c r="A103" l="1"/>
  <c r="B102"/>
  <c r="A104" l="1"/>
  <c r="B103"/>
  <c r="A105" l="1"/>
  <c r="B104"/>
  <c r="A106" l="1"/>
  <c r="B105"/>
  <c r="A107" l="1"/>
  <c r="B106"/>
  <c r="A108" l="1"/>
  <c r="B107"/>
  <c r="A109" l="1"/>
  <c r="B108"/>
  <c r="A110" l="1"/>
  <c r="B109"/>
  <c r="A111" l="1"/>
  <c r="B110"/>
  <c r="A112" l="1"/>
  <c r="B111"/>
  <c r="A113" l="1"/>
  <c r="B112"/>
  <c r="A114" l="1"/>
  <c r="B113"/>
  <c r="A115" l="1"/>
  <c r="B114"/>
  <c r="A116" l="1"/>
  <c r="B115"/>
  <c r="A117" l="1"/>
  <c r="B116"/>
  <c r="A118" l="1"/>
  <c r="B117"/>
  <c r="A119" l="1"/>
  <c r="B118"/>
  <c r="A120" l="1"/>
  <c r="B119"/>
  <c r="A121" l="1"/>
  <c r="B120"/>
  <c r="A122" l="1"/>
  <c r="B121"/>
  <c r="A123" l="1"/>
  <c r="B122"/>
  <c r="A124" l="1"/>
  <c r="B123"/>
  <c r="A125" l="1"/>
  <c r="B124"/>
  <c r="A126" l="1"/>
  <c r="B125"/>
  <c r="A127" l="1"/>
  <c r="B126"/>
  <c r="A128" l="1"/>
  <c r="B127"/>
  <c r="A129" l="1"/>
  <c r="B128"/>
  <c r="A130" l="1"/>
  <c r="B129"/>
  <c r="A131" l="1"/>
  <c r="B130"/>
  <c r="A132" l="1"/>
  <c r="B131"/>
  <c r="A133" l="1"/>
  <c r="B132"/>
  <c r="A134" l="1"/>
  <c r="B133"/>
  <c r="A135" l="1"/>
  <c r="B134"/>
  <c r="A136" l="1"/>
  <c r="B135"/>
  <c r="A137" l="1"/>
  <c r="B136"/>
  <c r="A138" l="1"/>
  <c r="B137"/>
  <c r="A139" l="1"/>
  <c r="B138"/>
  <c r="A140" l="1"/>
  <c r="B139"/>
  <c r="A141" l="1"/>
  <c r="B140"/>
  <c r="A142" l="1"/>
  <c r="B141"/>
  <c r="A143" l="1"/>
  <c r="B142"/>
  <c r="A144" l="1"/>
  <c r="B143"/>
  <c r="A145" l="1"/>
  <c r="B144"/>
  <c r="A146" l="1"/>
  <c r="B145"/>
  <c r="A147" l="1"/>
  <c r="B146"/>
  <c r="A148" l="1"/>
  <c r="B147"/>
  <c r="A149" l="1"/>
  <c r="B148"/>
  <c r="A150" l="1"/>
  <c r="B149"/>
  <c r="A151" l="1"/>
  <c r="B150"/>
  <c r="A152" l="1"/>
  <c r="B151"/>
  <c r="A153" l="1"/>
  <c r="B152"/>
  <c r="A154" l="1"/>
  <c r="B153"/>
  <c r="A155" l="1"/>
  <c r="B154"/>
  <c r="A156" l="1"/>
  <c r="B155"/>
  <c r="A157" l="1"/>
  <c r="B156"/>
  <c r="A158" l="1"/>
  <c r="B157"/>
  <c r="A159" l="1"/>
  <c r="B158"/>
  <c r="A160" l="1"/>
  <c r="B159"/>
  <c r="A161" l="1"/>
  <c r="B160"/>
  <c r="A162" l="1"/>
  <c r="B161"/>
  <c r="A163" l="1"/>
  <c r="B162"/>
  <c r="A164" l="1"/>
  <c r="B163"/>
  <c r="A165" l="1"/>
  <c r="B164"/>
  <c r="A166" l="1"/>
  <c r="B165"/>
  <c r="A167" l="1"/>
  <c r="B166"/>
  <c r="A168" l="1"/>
  <c r="B167"/>
  <c r="A169" l="1"/>
  <c r="B168"/>
  <c r="A170" l="1"/>
  <c r="B169"/>
  <c r="A171" l="1"/>
  <c r="B170"/>
  <c r="A172" l="1"/>
  <c r="B171"/>
  <c r="A173" l="1"/>
  <c r="B172"/>
  <c r="A174" l="1"/>
  <c r="B173"/>
  <c r="A175" l="1"/>
  <c r="B174"/>
  <c r="A176" l="1"/>
  <c r="B175"/>
  <c r="A177" l="1"/>
  <c r="B176"/>
  <c r="A178" l="1"/>
  <c r="B177"/>
  <c r="A179" l="1"/>
  <c r="B178"/>
  <c r="A180" l="1"/>
  <c r="B179"/>
  <c r="A181" l="1"/>
  <c r="B180"/>
  <c r="A182" l="1"/>
  <c r="B181"/>
  <c r="A183" l="1"/>
  <c r="B182"/>
  <c r="A184" l="1"/>
  <c r="B183"/>
  <c r="A185" l="1"/>
  <c r="B184"/>
  <c r="A186" l="1"/>
  <c r="B185"/>
  <c r="A187" l="1"/>
  <c r="B186"/>
  <c r="A188" l="1"/>
  <c r="B187"/>
  <c r="A189" l="1"/>
  <c r="B188"/>
  <c r="A190" l="1"/>
  <c r="B189"/>
  <c r="A191" l="1"/>
  <c r="B190"/>
  <c r="A192" l="1"/>
  <c r="B191"/>
  <c r="A193" l="1"/>
  <c r="B192"/>
  <c r="A194" l="1"/>
  <c r="B193"/>
  <c r="A195" l="1"/>
  <c r="B194"/>
  <c r="A196" l="1"/>
  <c r="B195"/>
  <c r="A197" l="1"/>
  <c r="B196"/>
  <c r="A198" l="1"/>
  <c r="B197"/>
  <c r="A199" l="1"/>
  <c r="B198"/>
  <c r="A200" l="1"/>
  <c r="B199"/>
  <c r="A201" l="1"/>
  <c r="B200"/>
  <c r="A202" l="1"/>
  <c r="B201"/>
  <c r="A203" l="1"/>
  <c r="B202"/>
  <c r="A204" l="1"/>
  <c r="B203"/>
  <c r="A205" l="1"/>
  <c r="B204"/>
  <c r="A206" l="1"/>
  <c r="B205"/>
  <c r="A207" l="1"/>
  <c r="B206"/>
  <c r="A208" l="1"/>
  <c r="B207"/>
  <c r="A209" l="1"/>
  <c r="B208"/>
  <c r="A210" l="1"/>
  <c r="B209"/>
  <c r="A211" l="1"/>
  <c r="B210"/>
  <c r="A212" l="1"/>
  <c r="B211"/>
  <c r="A213" l="1"/>
  <c r="B212"/>
  <c r="A214" l="1"/>
  <c r="B213"/>
  <c r="A215" l="1"/>
  <c r="B214"/>
  <c r="A216" l="1"/>
  <c r="B215"/>
  <c r="A217" l="1"/>
  <c r="B216"/>
  <c r="A218" l="1"/>
  <c r="B217"/>
  <c r="A219" l="1"/>
  <c r="B218"/>
  <c r="A220" l="1"/>
  <c r="B219"/>
  <c r="A221" l="1"/>
  <c r="B220"/>
  <c r="A222" l="1"/>
  <c r="B221"/>
  <c r="A223" l="1"/>
  <c r="B222"/>
  <c r="A224" l="1"/>
  <c r="B223"/>
  <c r="A225" l="1"/>
  <c r="B224"/>
  <c r="A226" l="1"/>
  <c r="B225"/>
  <c r="A227" l="1"/>
  <c r="B226"/>
  <c r="A228" l="1"/>
  <c r="B227"/>
  <c r="A229" l="1"/>
  <c r="B228"/>
  <c r="A230" l="1"/>
  <c r="B229"/>
  <c r="A231" l="1"/>
  <c r="B230"/>
  <c r="A232" l="1"/>
  <c r="B231"/>
  <c r="A233" l="1"/>
  <c r="B232"/>
  <c r="A234" l="1"/>
  <c r="B233"/>
  <c r="A235" l="1"/>
  <c r="B234"/>
  <c r="A236" l="1"/>
  <c r="B235"/>
  <c r="A237" l="1"/>
  <c r="B236"/>
  <c r="A238" l="1"/>
  <c r="B237"/>
  <c r="A239" l="1"/>
  <c r="B238"/>
  <c r="A240" l="1"/>
  <c r="B239"/>
  <c r="A241" l="1"/>
  <c r="B240"/>
  <c r="A242" l="1"/>
  <c r="B241"/>
  <c r="A243" l="1"/>
  <c r="B242"/>
  <c r="A244" l="1"/>
  <c r="B243"/>
  <c r="A245" l="1"/>
  <c r="B244"/>
  <c r="A246" l="1"/>
  <c r="B245"/>
  <c r="A247" l="1"/>
  <c r="B246"/>
  <c r="A248" l="1"/>
  <c r="B247"/>
  <c r="A249" l="1"/>
  <c r="B248"/>
  <c r="A250" l="1"/>
  <c r="B249"/>
  <c r="A251" l="1"/>
  <c r="B250"/>
  <c r="A252" l="1"/>
  <c r="B251"/>
  <c r="A253" l="1"/>
  <c r="B252"/>
  <c r="A254" l="1"/>
  <c r="B253"/>
  <c r="A255" l="1"/>
  <c r="B254"/>
  <c r="A256" l="1"/>
  <c r="B255"/>
  <c r="A257" l="1"/>
  <c r="B256"/>
  <c r="A258" l="1"/>
  <c r="B257"/>
  <c r="A259" l="1"/>
  <c r="B258"/>
  <c r="A260" l="1"/>
  <c r="B259"/>
  <c r="A261" l="1"/>
  <c r="B260"/>
  <c r="A262" l="1"/>
  <c r="B261"/>
  <c r="A263" l="1"/>
  <c r="B262"/>
  <c r="A264" l="1"/>
  <c r="B263"/>
  <c r="A265" l="1"/>
  <c r="B264"/>
  <c r="A266" l="1"/>
  <c r="B265"/>
  <c r="A267" l="1"/>
  <c r="B266"/>
  <c r="A268" l="1"/>
  <c r="B267"/>
  <c r="A269" l="1"/>
  <c r="B268"/>
  <c r="A270" l="1"/>
  <c r="B269"/>
  <c r="A271" l="1"/>
  <c r="B270"/>
  <c r="A272" l="1"/>
  <c r="B271"/>
  <c r="A273" l="1"/>
  <c r="B272"/>
  <c r="A274" l="1"/>
  <c r="B273"/>
  <c r="A275" l="1"/>
  <c r="B274"/>
  <c r="A276" l="1"/>
  <c r="B275"/>
  <c r="A277" l="1"/>
  <c r="B276"/>
  <c r="A278" l="1"/>
  <c r="B277"/>
  <c r="A279" l="1"/>
  <c r="B278"/>
  <c r="A280" l="1"/>
  <c r="B279"/>
  <c r="A281" l="1"/>
  <c r="B280"/>
  <c r="A282" l="1"/>
  <c r="B281"/>
  <c r="A283" l="1"/>
  <c r="B282"/>
  <c r="A284" l="1"/>
  <c r="B283"/>
  <c r="A285" l="1"/>
  <c r="B284"/>
  <c r="A286" l="1"/>
  <c r="B285"/>
  <c r="A287" l="1"/>
  <c r="B286"/>
  <c r="A288" l="1"/>
  <c r="B287"/>
  <c r="A289" l="1"/>
  <c r="B288"/>
  <c r="A290" l="1"/>
  <c r="B289"/>
  <c r="A291" l="1"/>
  <c r="A292" s="1"/>
  <c r="B290"/>
  <c r="A293" l="1"/>
  <c r="B292"/>
  <c r="B291"/>
  <c r="A294" l="1"/>
  <c r="B293"/>
  <c r="A295" l="1"/>
  <c r="B294"/>
  <c r="F13" i="19"/>
  <c r="F18" s="1"/>
  <c r="F22" s="1"/>
  <c r="A296" i="15" l="1"/>
  <c r="B295"/>
  <c r="A14" i="7"/>
  <c r="A297" i="15" l="1"/>
  <c r="B296"/>
  <c r="A17" i="7"/>
  <c r="F16"/>
  <c r="B17" s="1"/>
  <c r="A16"/>
  <c r="B16"/>
  <c r="A298" i="15" l="1"/>
  <c r="B297"/>
  <c r="H16" i="7"/>
  <c r="D17" s="1"/>
  <c r="A299" i="15" l="1"/>
  <c r="B298"/>
  <c r="F17" i="7"/>
  <c r="B18" s="1"/>
  <c r="A300" i="15" l="1"/>
  <c r="B299"/>
  <c r="H17" i="7"/>
  <c r="A18"/>
  <c r="A301" i="15" l="1"/>
  <c r="B300"/>
  <c r="D18" i="7"/>
  <c r="A19" s="1"/>
  <c r="J16"/>
  <c r="N16"/>
  <c r="F18"/>
  <c r="B19" s="1"/>
  <c r="A302" i="15" l="1"/>
  <c r="B301"/>
  <c r="H18" i="7"/>
  <c r="A303" i="15" l="1"/>
  <c r="B302"/>
  <c r="D19" i="7"/>
  <c r="A20" s="1"/>
  <c r="J17"/>
  <c r="L16" s="1"/>
  <c r="N17"/>
  <c r="F19"/>
  <c r="B20" s="1"/>
  <c r="A304" i="15" l="1"/>
  <c r="B303"/>
  <c r="H19" i="7"/>
  <c r="A305" i="15" l="1"/>
  <c r="B304"/>
  <c r="D20" i="7"/>
  <c r="A21" s="1"/>
  <c r="J18"/>
  <c r="L17" s="1"/>
  <c r="N18"/>
  <c r="F20"/>
  <c r="B21" s="1"/>
  <c r="A306" i="15" l="1"/>
  <c r="B305"/>
  <c r="H20" i="7"/>
  <c r="A307" i="15" l="1"/>
  <c r="B306"/>
  <c r="D21" i="7"/>
  <c r="A22" s="1"/>
  <c r="N19"/>
  <c r="J19"/>
  <c r="L18" s="1"/>
  <c r="F21"/>
  <c r="B22" s="1"/>
  <c r="A308" i="15" l="1"/>
  <c r="B307"/>
  <c r="H21" i="7"/>
  <c r="D22" s="1"/>
  <c r="F22" l="1"/>
  <c r="B23" s="1"/>
  <c r="J20"/>
  <c r="L19" s="1"/>
  <c r="N20"/>
  <c r="A309" i="15"/>
  <c r="B308"/>
  <c r="A23" i="7"/>
  <c r="H22"/>
  <c r="A310" i="15" l="1"/>
  <c r="B309"/>
  <c r="D23" i="7"/>
  <c r="A24" s="1"/>
  <c r="F23"/>
  <c r="B24" s="1"/>
  <c r="N21"/>
  <c r="J21"/>
  <c r="L20" s="1"/>
  <c r="A311" i="15" l="1"/>
  <c r="B310"/>
  <c r="H23" i="7"/>
  <c r="A312" i="15" l="1"/>
  <c r="B311"/>
  <c r="D24" i="7"/>
  <c r="A25" s="1"/>
  <c r="N22"/>
  <c r="F24"/>
  <c r="B25" s="1"/>
  <c r="J22"/>
  <c r="L21" s="1"/>
  <c r="A313" i="15" l="1"/>
  <c r="B312"/>
  <c r="H24" i="7"/>
  <c r="K23" s="1"/>
  <c r="A314" i="15" l="1"/>
  <c r="B313"/>
  <c r="D25" i="7"/>
  <c r="A26" s="1"/>
  <c r="N23"/>
  <c r="J23"/>
  <c r="L22" s="1"/>
  <c r="F25"/>
  <c r="B26" s="1"/>
  <c r="A315" i="15" l="1"/>
  <c r="B314"/>
  <c r="H25" i="7"/>
  <c r="K24" s="1"/>
  <c r="J24" l="1"/>
  <c r="L23" s="1"/>
  <c r="F26"/>
  <c r="B27" s="1"/>
  <c r="N24"/>
  <c r="A316" i="15"/>
  <c r="B315"/>
  <c r="D26" i="7"/>
  <c r="A27" s="1"/>
  <c r="A317" i="15" l="1"/>
  <c r="B316"/>
  <c r="H26" i="7"/>
  <c r="K25" s="1"/>
  <c r="J25" l="1"/>
  <c r="L24" s="1"/>
  <c r="N25"/>
  <c r="F27"/>
  <c r="B28" s="1"/>
  <c r="D27"/>
  <c r="A28" s="1"/>
  <c r="A318" i="15"/>
  <c r="B317"/>
  <c r="H27" i="7" l="1"/>
  <c r="K26" s="1"/>
  <c r="A319" i="15"/>
  <c r="B318"/>
  <c r="F28" i="7" l="1"/>
  <c r="B29" s="1"/>
  <c r="D28"/>
  <c r="A29" s="1"/>
  <c r="N26"/>
  <c r="J26"/>
  <c r="L25" s="1"/>
  <c r="A320" i="15"/>
  <c r="B319"/>
  <c r="H28" i="7" l="1"/>
  <c r="K27" s="1"/>
  <c r="A321" i="15"/>
  <c r="B320"/>
  <c r="F29" i="7" l="1"/>
  <c r="B30" s="1"/>
  <c r="N27"/>
  <c r="J27"/>
  <c r="L26" s="1"/>
  <c r="D29"/>
  <c r="A30" s="1"/>
  <c r="A322" i="15"/>
  <c r="B321"/>
  <c r="H29" i="7" l="1"/>
  <c r="K28" s="1"/>
  <c r="A323" i="15"/>
  <c r="B322"/>
  <c r="J28" i="7" l="1"/>
  <c r="L27" s="1"/>
  <c r="D30"/>
  <c r="A31" s="1"/>
  <c r="N28"/>
  <c r="F30"/>
  <c r="B31" s="1"/>
  <c r="A324" i="15"/>
  <c r="B323"/>
  <c r="H30" i="7" l="1"/>
  <c r="K29" s="1"/>
  <c r="A325" i="15"/>
  <c r="B324"/>
  <c r="J29" i="7" l="1"/>
  <c r="L28" s="1"/>
  <c r="F31"/>
  <c r="B32" s="1"/>
  <c r="N29"/>
  <c r="D31"/>
  <c r="A32" s="1"/>
  <c r="A326" i="15"/>
  <c r="B325"/>
  <c r="H31" i="7" l="1"/>
  <c r="K30" s="1"/>
  <c r="A327" i="15"/>
  <c r="B326"/>
  <c r="J30" i="7" l="1"/>
  <c r="L29" s="1"/>
  <c r="F32"/>
  <c r="B33" s="1"/>
  <c r="N30"/>
  <c r="D32"/>
  <c r="A33" s="1"/>
  <c r="A328" i="15"/>
  <c r="B327"/>
  <c r="H32" i="7" l="1"/>
  <c r="K31" s="1"/>
  <c r="A329" i="15"/>
  <c r="B328"/>
  <c r="N31" i="7" l="1"/>
  <c r="J31"/>
  <c r="L30" s="1"/>
  <c r="F33"/>
  <c r="B34" s="1"/>
  <c r="D33"/>
  <c r="A34" s="1"/>
  <c r="A330" i="15"/>
  <c r="B329"/>
  <c r="H33" i="7" l="1"/>
  <c r="K32" s="1"/>
  <c r="A331" i="15"/>
  <c r="B330"/>
  <c r="F34" i="7" l="1"/>
  <c r="B35" s="1"/>
  <c r="J32"/>
  <c r="L31" s="1"/>
  <c r="N32"/>
  <c r="D34"/>
  <c r="A332" i="15"/>
  <c r="B331"/>
  <c r="H34" i="7" l="1"/>
  <c r="K33" s="1"/>
  <c r="A333" i="15"/>
  <c r="B332"/>
  <c r="D35" i="7"/>
  <c r="J33"/>
  <c r="L32" s="1"/>
  <c r="F35"/>
  <c r="B36" s="1"/>
  <c r="N33"/>
  <c r="A334" i="15" l="1"/>
  <c r="B333"/>
  <c r="H35" i="7"/>
  <c r="K34" s="1"/>
  <c r="N34" l="1"/>
  <c r="F36"/>
  <c r="B37" s="1"/>
  <c r="A335" i="15"/>
  <c r="B334"/>
  <c r="J34" i="7"/>
  <c r="L33" s="1"/>
  <c r="D36"/>
  <c r="H36" s="1"/>
  <c r="K35" s="1"/>
  <c r="A336" i="15" l="1"/>
  <c r="B335"/>
  <c r="D37" i="7"/>
  <c r="F37"/>
  <c r="B38" s="1"/>
  <c r="N35"/>
  <c r="J35"/>
  <c r="L34" s="1"/>
  <c r="A337" i="15" l="1"/>
  <c r="B336"/>
  <c r="J38" i="7"/>
  <c r="H37"/>
  <c r="K36" s="1"/>
  <c r="A338" i="15" l="1"/>
  <c r="B337"/>
  <c r="D38" i="7"/>
  <c r="K38" s="1"/>
  <c r="J36"/>
  <c r="L35" s="1"/>
  <c r="F38"/>
  <c r="L38" s="1"/>
  <c r="N36"/>
  <c r="I34"/>
  <c r="A339" i="15" l="1"/>
  <c r="B338"/>
  <c r="H38" i="7"/>
  <c r="K37" s="1"/>
  <c r="I33"/>
  <c r="A340" i="15" l="1"/>
  <c r="B339"/>
  <c r="N38" i="7"/>
  <c r="J37"/>
  <c r="L36" s="1"/>
  <c r="N37"/>
  <c r="I36"/>
  <c r="I37"/>
  <c r="I35" s="1"/>
  <c r="L37"/>
  <c r="I32"/>
  <c r="J8" l="1"/>
  <c r="J13" i="19" s="1"/>
  <c r="A341" i="15"/>
  <c r="B340"/>
  <c r="I31" i="7"/>
  <c r="J9" i="19" l="1"/>
  <c r="F20" s="1"/>
  <c r="A342" i="15"/>
  <c r="B341"/>
  <c r="J18" i="19"/>
  <c r="J22" s="1"/>
  <c r="H11"/>
  <c r="D11"/>
  <c r="I30" i="7"/>
  <c r="I29"/>
  <c r="A343" i="15" l="1"/>
  <c r="B342"/>
  <c r="I28" i="7"/>
  <c r="A344" i="15" l="1"/>
  <c r="B343"/>
  <c r="I27" i="7"/>
  <c r="I26"/>
  <c r="A345" i="15" l="1"/>
  <c r="B344"/>
  <c r="I25" i="7"/>
  <c r="A346" i="15" l="1"/>
  <c r="B345"/>
  <c r="I24" i="7"/>
  <c r="A347" i="15" l="1"/>
  <c r="B346"/>
  <c r="I23" i="7"/>
  <c r="K22" s="1"/>
  <c r="A348" i="15" l="1"/>
  <c r="B347"/>
  <c r="I22" i="7"/>
  <c r="K21" s="1"/>
  <c r="A349" i="15" l="1"/>
  <c r="B348"/>
  <c r="I21" i="7"/>
  <c r="K20" s="1"/>
  <c r="A350" i="15" l="1"/>
  <c r="B349"/>
  <c r="I20" i="7"/>
  <c r="K19" s="1"/>
  <c r="A351" i="15" l="1"/>
  <c r="B350"/>
  <c r="I18" i="7"/>
  <c r="I19"/>
  <c r="A352" i="15" l="1"/>
  <c r="B351"/>
  <c r="K18" i="7"/>
  <c r="K17" s="1"/>
  <c r="I16" s="1"/>
  <c r="A353" i="15" l="1"/>
  <c r="B352"/>
  <c r="I17" i="7"/>
  <c r="K16" s="1"/>
  <c r="D8" s="1"/>
  <c r="D18" i="19" s="1"/>
  <c r="D22" s="1"/>
  <c r="H8" i="7" l="1"/>
  <c r="H18" i="19" s="1"/>
  <c r="H22" s="1"/>
  <c r="A354" i="15"/>
  <c r="B353"/>
  <c r="M8" i="7" l="1"/>
  <c r="A355" i="15"/>
  <c r="B354"/>
  <c r="A356" l="1"/>
  <c r="B355"/>
  <c r="A357" l="1"/>
  <c r="B356"/>
  <c r="A358" l="1"/>
  <c r="B357"/>
  <c r="A359" l="1"/>
  <c r="B358"/>
  <c r="A360" l="1"/>
  <c r="B359"/>
  <c r="A361" l="1"/>
  <c r="B360"/>
  <c r="A362" l="1"/>
  <c r="B361"/>
  <c r="A363" l="1"/>
  <c r="B362"/>
  <c r="A364" l="1"/>
  <c r="B363"/>
  <c r="A365" l="1"/>
  <c r="B364"/>
  <c r="A366" l="1"/>
  <c r="B365"/>
  <c r="A367" l="1"/>
  <c r="B366"/>
  <c r="A368" l="1"/>
  <c r="B367"/>
  <c r="A369" l="1"/>
  <c r="B368"/>
  <c r="A370" l="1"/>
  <c r="B369"/>
  <c r="A371" l="1"/>
  <c r="B370"/>
  <c r="A372" l="1"/>
  <c r="B371"/>
  <c r="A373" l="1"/>
  <c r="B372"/>
  <c r="A374" l="1"/>
  <c r="B373"/>
  <c r="A375" l="1"/>
  <c r="B374"/>
  <c r="A376" l="1"/>
  <c r="B375"/>
  <c r="A377" l="1"/>
  <c r="B376"/>
  <c r="A378" l="1"/>
  <c r="B377"/>
  <c r="A379" l="1"/>
  <c r="B378"/>
  <c r="A380" l="1"/>
  <c r="B379"/>
  <c r="A381" l="1"/>
  <c r="B380"/>
  <c r="A382" l="1"/>
  <c r="B381"/>
  <c r="A383" l="1"/>
  <c r="B382"/>
  <c r="A384" l="1"/>
  <c r="B383"/>
  <c r="A385" l="1"/>
  <c r="B384"/>
  <c r="A386" l="1"/>
  <c r="B385"/>
  <c r="A387" l="1"/>
  <c r="B386"/>
  <c r="A388" l="1"/>
  <c r="B387"/>
  <c r="A389" l="1"/>
  <c r="B388"/>
  <c r="A390" l="1"/>
  <c r="B389"/>
  <c r="A391" l="1"/>
  <c r="B390"/>
  <c r="A392" l="1"/>
  <c r="B391"/>
  <c r="A393" l="1"/>
  <c r="B392"/>
  <c r="A394" l="1"/>
  <c r="B393"/>
  <c r="A395" l="1"/>
  <c r="B394"/>
  <c r="A396" l="1"/>
  <c r="B395"/>
  <c r="A397" l="1"/>
  <c r="B396"/>
  <c r="A398" l="1"/>
  <c r="B397"/>
  <c r="A399" l="1"/>
  <c r="B398"/>
  <c r="A400" l="1"/>
  <c r="B399"/>
  <c r="A401" l="1"/>
  <c r="B400"/>
  <c r="A402" l="1"/>
  <c r="B401"/>
  <c r="A403" l="1"/>
  <c r="B402"/>
  <c r="A404" l="1"/>
  <c r="B403"/>
  <c r="A405" l="1"/>
  <c r="B404"/>
  <c r="A406" l="1"/>
  <c r="B405"/>
  <c r="A407" l="1"/>
  <c r="B406"/>
  <c r="A408" l="1"/>
  <c r="B407"/>
  <c r="A409" l="1"/>
  <c r="B408"/>
  <c r="A410" l="1"/>
  <c r="B409"/>
  <c r="A411" l="1"/>
  <c r="B410"/>
  <c r="A412" l="1"/>
  <c r="B411"/>
  <c r="A413" l="1"/>
  <c r="B412"/>
  <c r="A414" l="1"/>
  <c r="B413"/>
  <c r="A415" l="1"/>
  <c r="B414"/>
  <c r="A416" l="1"/>
  <c r="B415"/>
  <c r="A417" l="1"/>
  <c r="B416"/>
  <c r="A418" l="1"/>
  <c r="B417"/>
  <c r="A419" l="1"/>
  <c r="B418"/>
  <c r="A420" l="1"/>
  <c r="B419"/>
  <c r="A421" l="1"/>
  <c r="B420"/>
  <c r="A422" l="1"/>
  <c r="B421"/>
  <c r="A423" l="1"/>
  <c r="B422"/>
  <c r="A424" l="1"/>
  <c r="B423"/>
  <c r="A425" l="1"/>
  <c r="B424"/>
  <c r="A426" l="1"/>
  <c r="B425"/>
  <c r="A427" l="1"/>
  <c r="B426"/>
  <c r="A428" l="1"/>
  <c r="B427"/>
  <c r="A429" l="1"/>
  <c r="B428"/>
  <c r="A430" l="1"/>
  <c r="B429"/>
  <c r="A431" l="1"/>
  <c r="B430"/>
  <c r="A432" l="1"/>
  <c r="B431"/>
  <c r="A433" l="1"/>
  <c r="B432"/>
  <c r="A434" l="1"/>
  <c r="B433"/>
  <c r="A435" l="1"/>
  <c r="B434"/>
  <c r="A436" l="1"/>
  <c r="B435"/>
  <c r="A437" l="1"/>
  <c r="B436"/>
  <c r="A438" l="1"/>
  <c r="B437"/>
  <c r="A439" l="1"/>
  <c r="B438"/>
  <c r="A440" l="1"/>
  <c r="B439"/>
  <c r="A441" l="1"/>
  <c r="B440"/>
  <c r="A442" l="1"/>
  <c r="B441"/>
  <c r="A443" l="1"/>
  <c r="B442"/>
  <c r="A444" l="1"/>
  <c r="B443"/>
  <c r="A445" l="1"/>
  <c r="B444"/>
  <c r="A446" l="1"/>
  <c r="B445"/>
  <c r="A447" l="1"/>
  <c r="B446"/>
  <c r="A448" l="1"/>
  <c r="B447"/>
  <c r="A449" l="1"/>
  <c r="B448"/>
  <c r="A450" l="1"/>
  <c r="B449"/>
  <c r="A451" l="1"/>
  <c r="B450"/>
  <c r="A452" l="1"/>
  <c r="B451"/>
  <c r="A453" l="1"/>
  <c r="B452"/>
  <c r="A454" l="1"/>
  <c r="B453"/>
  <c r="A455" l="1"/>
  <c r="B454"/>
  <c r="A456" l="1"/>
  <c r="B455"/>
  <c r="A457" l="1"/>
  <c r="B456"/>
  <c r="A458" l="1"/>
  <c r="B457"/>
  <c r="A459" l="1"/>
  <c r="B458"/>
  <c r="A460" l="1"/>
  <c r="B459"/>
  <c r="A461" l="1"/>
  <c r="B460"/>
  <c r="A462" l="1"/>
  <c r="B461"/>
  <c r="A463" l="1"/>
  <c r="B462"/>
  <c r="A464" l="1"/>
  <c r="B463"/>
  <c r="A465" l="1"/>
  <c r="B464"/>
  <c r="A466" l="1"/>
  <c r="B465"/>
  <c r="A467" l="1"/>
  <c r="B466"/>
  <c r="A468" l="1"/>
  <c r="B467"/>
  <c r="A469" l="1"/>
  <c r="B468"/>
  <c r="A470" l="1"/>
  <c r="B469"/>
  <c r="A471" l="1"/>
  <c r="B470"/>
  <c r="A472" l="1"/>
  <c r="B471"/>
  <c r="A473" l="1"/>
  <c r="B472"/>
  <c r="A474" l="1"/>
  <c r="B473"/>
  <c r="A475" l="1"/>
  <c r="B474"/>
  <c r="A476" l="1"/>
  <c r="B475"/>
  <c r="A477" l="1"/>
  <c r="B476"/>
  <c r="A478" l="1"/>
  <c r="B477"/>
  <c r="A479" l="1"/>
  <c r="B478"/>
  <c r="A480" l="1"/>
  <c r="B479"/>
  <c r="A481" l="1"/>
  <c r="B480"/>
  <c r="A482" l="1"/>
  <c r="B481"/>
  <c r="A483" l="1"/>
  <c r="B482"/>
  <c r="A484" l="1"/>
  <c r="B483"/>
  <c r="A485" l="1"/>
  <c r="B484"/>
  <c r="A486" l="1"/>
  <c r="B485"/>
  <c r="A487" l="1"/>
  <c r="B486"/>
  <c r="A488" l="1"/>
  <c r="B487"/>
  <c r="A489" l="1"/>
  <c r="B488"/>
  <c r="A490" l="1"/>
  <c r="B489"/>
  <c r="A491" l="1"/>
  <c r="B490"/>
  <c r="A492" l="1"/>
  <c r="B491"/>
  <c r="A493" l="1"/>
  <c r="B492"/>
  <c r="A494" l="1"/>
  <c r="B493"/>
  <c r="A495" l="1"/>
  <c r="B494"/>
  <c r="A496" l="1"/>
  <c r="B495"/>
  <c r="A497" l="1"/>
  <c r="B496"/>
  <c r="A498" l="1"/>
  <c r="B497"/>
  <c r="A499" l="1"/>
  <c r="B498"/>
  <c r="A500" l="1"/>
  <c r="B499"/>
  <c r="A501" l="1"/>
  <c r="B500"/>
  <c r="A502" l="1"/>
  <c r="B501"/>
  <c r="A503" l="1"/>
  <c r="B502"/>
  <c r="A504" l="1"/>
  <c r="B503"/>
  <c r="A505" l="1"/>
  <c r="B504"/>
  <c r="A506" l="1"/>
  <c r="B505"/>
  <c r="A507" l="1"/>
  <c r="B506"/>
  <c r="A508" l="1"/>
  <c r="B507"/>
  <c r="A509" l="1"/>
  <c r="B508"/>
  <c r="A510" l="1"/>
  <c r="B509"/>
  <c r="A511" l="1"/>
  <c r="B510"/>
  <c r="A512" l="1"/>
  <c r="B511"/>
  <c r="A513" l="1"/>
  <c r="B512"/>
  <c r="A514" l="1"/>
  <c r="B513"/>
  <c r="A515" l="1"/>
  <c r="B514"/>
  <c r="A516" l="1"/>
  <c r="B515"/>
  <c r="A517" l="1"/>
  <c r="B516"/>
  <c r="A518" l="1"/>
  <c r="B517"/>
  <c r="A519" l="1"/>
  <c r="B518"/>
  <c r="A520" l="1"/>
  <c r="B519"/>
  <c r="A521" l="1"/>
  <c r="B520"/>
  <c r="A522" l="1"/>
  <c r="B521"/>
  <c r="A523" l="1"/>
  <c r="B522"/>
  <c r="A524" l="1"/>
  <c r="B523"/>
  <c r="A525" l="1"/>
  <c r="B524"/>
  <c r="A526" l="1"/>
  <c r="B525"/>
  <c r="A527" l="1"/>
  <c r="B526"/>
  <c r="A528" l="1"/>
  <c r="B527"/>
  <c r="A529" l="1"/>
  <c r="B528"/>
  <c r="A530" l="1"/>
  <c r="B529"/>
  <c r="A531" l="1"/>
  <c r="B530"/>
  <c r="A532" l="1"/>
  <c r="B531"/>
  <c r="A533" l="1"/>
  <c r="B532"/>
  <c r="A534" l="1"/>
  <c r="B533"/>
  <c r="A535" l="1"/>
  <c r="B534"/>
  <c r="A536" l="1"/>
  <c r="B535"/>
  <c r="A537" l="1"/>
  <c r="B536"/>
  <c r="A538" l="1"/>
  <c r="B537"/>
  <c r="A539" l="1"/>
  <c r="B538"/>
  <c r="A540" l="1"/>
  <c r="B539"/>
  <c r="A541" l="1"/>
  <c r="B540"/>
  <c r="A542" l="1"/>
  <c r="B541"/>
  <c r="A543" l="1"/>
  <c r="B542"/>
  <c r="A544" l="1"/>
  <c r="B543"/>
  <c r="A545" l="1"/>
  <c r="B544"/>
  <c r="A546" l="1"/>
  <c r="B545"/>
  <c r="A547" l="1"/>
  <c r="B546"/>
  <c r="A548" l="1"/>
  <c r="B547"/>
  <c r="A549" l="1"/>
  <c r="B548"/>
  <c r="A550" l="1"/>
  <c r="B549"/>
  <c r="A551" l="1"/>
  <c r="B550"/>
  <c r="A552" l="1"/>
  <c r="B551"/>
  <c r="A553" l="1"/>
  <c r="B552"/>
  <c r="A554" l="1"/>
  <c r="B553"/>
  <c r="A555" l="1"/>
  <c r="B554"/>
  <c r="A556" l="1"/>
  <c r="B555"/>
  <c r="A557" l="1"/>
  <c r="B556"/>
  <c r="A558" l="1"/>
  <c r="B557"/>
  <c r="A559" l="1"/>
  <c r="B558"/>
  <c r="A560" l="1"/>
  <c r="B559"/>
  <c r="A561" l="1"/>
  <c r="B560"/>
  <c r="A562" l="1"/>
  <c r="B561"/>
  <c r="A563" l="1"/>
  <c r="B562"/>
  <c r="A564" l="1"/>
  <c r="B563"/>
  <c r="A565" l="1"/>
  <c r="B564"/>
  <c r="A566" l="1"/>
  <c r="B565"/>
  <c r="A567" l="1"/>
  <c r="B566"/>
  <c r="A568" l="1"/>
  <c r="B567"/>
  <c r="A569" l="1"/>
  <c r="B568"/>
  <c r="A570" l="1"/>
  <c r="B569"/>
  <c r="A571" l="1"/>
  <c r="B570"/>
  <c r="A572" l="1"/>
  <c r="B571"/>
  <c r="A573" l="1"/>
  <c r="B572"/>
  <c r="A574" l="1"/>
  <c r="B573"/>
  <c r="A575" l="1"/>
  <c r="B574"/>
  <c r="A576" l="1"/>
  <c r="B575"/>
  <c r="A577" l="1"/>
  <c r="B576"/>
  <c r="A578" l="1"/>
  <c r="B577"/>
  <c r="A579" l="1"/>
  <c r="B578"/>
  <c r="A580" l="1"/>
  <c r="B579"/>
  <c r="A581" l="1"/>
  <c r="B580"/>
  <c r="A582" l="1"/>
  <c r="B581"/>
  <c r="A583" l="1"/>
  <c r="B582"/>
  <c r="A584" l="1"/>
  <c r="B583"/>
  <c r="A585" l="1"/>
  <c r="B584"/>
  <c r="A586" l="1"/>
  <c r="B585"/>
  <c r="A587" l="1"/>
  <c r="B586"/>
  <c r="A588" l="1"/>
  <c r="B587"/>
  <c r="A589" l="1"/>
  <c r="B588"/>
  <c r="A590" l="1"/>
  <c r="B589"/>
  <c r="A591" l="1"/>
  <c r="B590"/>
  <c r="A592" l="1"/>
  <c r="B591"/>
  <c r="A593" l="1"/>
  <c r="B592"/>
  <c r="A594" l="1"/>
  <c r="B593"/>
  <c r="A595" l="1"/>
  <c r="B594"/>
  <c r="A596" l="1"/>
  <c r="B595"/>
  <c r="A597" l="1"/>
  <c r="B596"/>
  <c r="A598" l="1"/>
  <c r="B597"/>
  <c r="A599" l="1"/>
  <c r="B598"/>
  <c r="A600" l="1"/>
  <c r="B599"/>
  <c r="A601" l="1"/>
  <c r="B600"/>
  <c r="A602" l="1"/>
  <c r="B601"/>
  <c r="A603" l="1"/>
  <c r="B602"/>
  <c r="A604" l="1"/>
  <c r="B603"/>
  <c r="A605" l="1"/>
  <c r="B604"/>
  <c r="A606" l="1"/>
  <c r="B605"/>
  <c r="A607" l="1"/>
  <c r="B606"/>
  <c r="A608" l="1"/>
  <c r="B607"/>
  <c r="A609" l="1"/>
  <c r="B608"/>
  <c r="A610" l="1"/>
  <c r="B609"/>
  <c r="A611" l="1"/>
  <c r="B610"/>
  <c r="A612" l="1"/>
  <c r="B611"/>
  <c r="A613" l="1"/>
  <c r="B612"/>
  <c r="A614" l="1"/>
  <c r="B613"/>
  <c r="A615" l="1"/>
  <c r="B614"/>
  <c r="A616" l="1"/>
  <c r="B615"/>
  <c r="A617" l="1"/>
  <c r="B616"/>
  <c r="A618" l="1"/>
  <c r="B617"/>
  <c r="A619" l="1"/>
  <c r="B618"/>
  <c r="A620" l="1"/>
  <c r="B619"/>
  <c r="A621" l="1"/>
  <c r="B620"/>
  <c r="A622" l="1"/>
  <c r="B621"/>
  <c r="A623" l="1"/>
  <c r="B622"/>
  <c r="A624" l="1"/>
  <c r="B623"/>
  <c r="A625" l="1"/>
  <c r="B624"/>
  <c r="A626" l="1"/>
  <c r="B625"/>
  <c r="A627" l="1"/>
  <c r="B626"/>
  <c r="A628" l="1"/>
  <c r="B627"/>
  <c r="A629" l="1"/>
  <c r="B628"/>
  <c r="A630" l="1"/>
  <c r="B629"/>
  <c r="A631" l="1"/>
  <c r="B630"/>
  <c r="A632" l="1"/>
  <c r="B631"/>
  <c r="A633" l="1"/>
  <c r="B632"/>
  <c r="A634" l="1"/>
  <c r="B633"/>
  <c r="A635" l="1"/>
  <c r="B634"/>
  <c r="A636" l="1"/>
  <c r="B635"/>
  <c r="A637" l="1"/>
  <c r="B636"/>
  <c r="A638" l="1"/>
  <c r="B637"/>
  <c r="A639" l="1"/>
  <c r="B638"/>
  <c r="A640" l="1"/>
  <c r="B639"/>
  <c r="A641" l="1"/>
  <c r="B640"/>
  <c r="A642" l="1"/>
  <c r="B641"/>
  <c r="A643" l="1"/>
  <c r="B642"/>
  <c r="A644" l="1"/>
  <c r="B643"/>
  <c r="A645" l="1"/>
  <c r="B644"/>
  <c r="A646" l="1"/>
  <c r="B645"/>
  <c r="A647" l="1"/>
  <c r="B646"/>
  <c r="A648" l="1"/>
  <c r="B647"/>
  <c r="A649" l="1"/>
  <c r="B648"/>
  <c r="A650" l="1"/>
  <c r="B649"/>
  <c r="A651" l="1"/>
  <c r="B650"/>
  <c r="A652" l="1"/>
  <c r="B651"/>
  <c r="A653" l="1"/>
  <c r="B652"/>
  <c r="A654" l="1"/>
  <c r="B653"/>
  <c r="A655" l="1"/>
  <c r="B654"/>
  <c r="A656" l="1"/>
  <c r="B655"/>
  <c r="A657" l="1"/>
  <c r="B656"/>
  <c r="A658" l="1"/>
  <c r="B657"/>
  <c r="A659" l="1"/>
  <c r="B658"/>
  <c r="A660" l="1"/>
  <c r="B659"/>
  <c r="A661" l="1"/>
  <c r="B660"/>
  <c r="A662" l="1"/>
  <c r="B661"/>
  <c r="A663" l="1"/>
  <c r="B662"/>
  <c r="A664" l="1"/>
  <c r="B663"/>
  <c r="A665" l="1"/>
  <c r="B664"/>
  <c r="A666" l="1"/>
  <c r="B665"/>
  <c r="A667" l="1"/>
  <c r="B666"/>
  <c r="A668" l="1"/>
  <c r="B667"/>
  <c r="A669" l="1"/>
  <c r="B668"/>
  <c r="A670" l="1"/>
  <c r="B669"/>
  <c r="A671" l="1"/>
  <c r="B670"/>
  <c r="A672" l="1"/>
  <c r="B671"/>
  <c r="A673" l="1"/>
  <c r="B672"/>
  <c r="A674" l="1"/>
  <c r="B673"/>
  <c r="A675" l="1"/>
  <c r="B674"/>
  <c r="A676" l="1"/>
  <c r="B675"/>
  <c r="A677" l="1"/>
  <c r="B676"/>
  <c r="A678" l="1"/>
  <c r="B677"/>
  <c r="A679" l="1"/>
  <c r="B678"/>
  <c r="A680" l="1"/>
  <c r="B679"/>
  <c r="A681" l="1"/>
  <c r="B680"/>
  <c r="A682" l="1"/>
  <c r="B681"/>
  <c r="A683" l="1"/>
  <c r="B682"/>
  <c r="A684" l="1"/>
  <c r="B683"/>
  <c r="A685" l="1"/>
  <c r="B684"/>
  <c r="A686" l="1"/>
  <c r="B685"/>
  <c r="A687" l="1"/>
  <c r="B686"/>
  <c r="A688" l="1"/>
  <c r="B687"/>
  <c r="A689" l="1"/>
  <c r="B688"/>
  <c r="A690" l="1"/>
  <c r="B689"/>
  <c r="A691" l="1"/>
  <c r="B690"/>
  <c r="A692" l="1"/>
  <c r="B691"/>
  <c r="A693" l="1"/>
  <c r="B692"/>
  <c r="A694" l="1"/>
  <c r="B693"/>
  <c r="A695" l="1"/>
  <c r="B694"/>
  <c r="A696" l="1"/>
  <c r="B695"/>
  <c r="A697" l="1"/>
  <c r="B696"/>
  <c r="A698" l="1"/>
  <c r="B697"/>
  <c r="A699" l="1"/>
  <c r="B698"/>
  <c r="A700" l="1"/>
  <c r="B699"/>
  <c r="A701" l="1"/>
  <c r="B700"/>
  <c r="A702" l="1"/>
  <c r="B701"/>
  <c r="A703" l="1"/>
  <c r="B702"/>
  <c r="A704" l="1"/>
  <c r="B703"/>
  <c r="A705" l="1"/>
  <c r="B704"/>
  <c r="A706" l="1"/>
  <c r="B705"/>
  <c r="A707" l="1"/>
  <c r="B706"/>
  <c r="A708" l="1"/>
  <c r="B707"/>
  <c r="A709" l="1"/>
  <c r="B708"/>
  <c r="A710" l="1"/>
  <c r="B709"/>
  <c r="A711" l="1"/>
  <c r="B710"/>
  <c r="A712" l="1"/>
  <c r="B711"/>
  <c r="A713" l="1"/>
  <c r="B712"/>
  <c r="A714" l="1"/>
  <c r="B713"/>
  <c r="A715" l="1"/>
  <c r="B714"/>
  <c r="A716" l="1"/>
  <c r="B715"/>
  <c r="A717" l="1"/>
  <c r="B716"/>
  <c r="A718" l="1"/>
  <c r="B717"/>
  <c r="A719" l="1"/>
  <c r="B718"/>
  <c r="A720" l="1"/>
  <c r="B719"/>
  <c r="A721" l="1"/>
  <c r="B720"/>
  <c r="A722" l="1"/>
  <c r="B721"/>
  <c r="A723" l="1"/>
  <c r="B722"/>
  <c r="A724" l="1"/>
  <c r="B723"/>
  <c r="A725" l="1"/>
  <c r="B724"/>
  <c r="A726" l="1"/>
  <c r="B725"/>
  <c r="A727" l="1"/>
  <c r="B726"/>
  <c r="A728" l="1"/>
  <c r="B727"/>
  <c r="A729" l="1"/>
  <c r="B728"/>
  <c r="A730" l="1"/>
  <c r="B729"/>
  <c r="A731" l="1"/>
  <c r="B730"/>
  <c r="A732" l="1"/>
  <c r="B731"/>
  <c r="A733" l="1"/>
  <c r="B732"/>
  <c r="A734" l="1"/>
  <c r="B733"/>
  <c r="A735" l="1"/>
  <c r="B734"/>
  <c r="A736" l="1"/>
  <c r="B735"/>
  <c r="A737" l="1"/>
  <c r="B736"/>
  <c r="A738" l="1"/>
  <c r="B737"/>
  <c r="A739" l="1"/>
  <c r="B738"/>
  <c r="A740" l="1"/>
  <c r="B739"/>
  <c r="A741" l="1"/>
  <c r="B740"/>
  <c r="A742" l="1"/>
  <c r="B741"/>
  <c r="A743" l="1"/>
  <c r="B742"/>
  <c r="A744" l="1"/>
  <c r="B743"/>
  <c r="A745" l="1"/>
  <c r="B744"/>
  <c r="A746" l="1"/>
  <c r="B745"/>
  <c r="A747" l="1"/>
  <c r="B746"/>
  <c r="A748" l="1"/>
  <c r="B747"/>
  <c r="A749" l="1"/>
  <c r="B748"/>
  <c r="A750" l="1"/>
  <c r="B749"/>
  <c r="A751" l="1"/>
  <c r="B750"/>
  <c r="A752" l="1"/>
  <c r="B751"/>
  <c r="A753" l="1"/>
  <c r="B752"/>
  <c r="A754" l="1"/>
  <c r="B753"/>
  <c r="A755" l="1"/>
  <c r="B754"/>
  <c r="A756" l="1"/>
  <c r="B755"/>
  <c r="A757" l="1"/>
  <c r="B756"/>
  <c r="A758" l="1"/>
  <c r="B757"/>
  <c r="A759" l="1"/>
  <c r="B758"/>
  <c r="A760" l="1"/>
  <c r="B759"/>
  <c r="A761" l="1"/>
  <c r="B760"/>
  <c r="A762" l="1"/>
  <c r="B761"/>
  <c r="A763" l="1"/>
  <c r="B762"/>
  <c r="A764" l="1"/>
  <c r="B763"/>
  <c r="A765" l="1"/>
  <c r="B764"/>
  <c r="A766" l="1"/>
  <c r="B765"/>
  <c r="A767" l="1"/>
  <c r="B766"/>
  <c r="A768" l="1"/>
  <c r="B767"/>
  <c r="A769" l="1"/>
  <c r="B768"/>
  <c r="A770" l="1"/>
  <c r="B769"/>
  <c r="A771" l="1"/>
  <c r="B770"/>
  <c r="A772" l="1"/>
  <c r="B771"/>
  <c r="A773" l="1"/>
  <c r="B772"/>
  <c r="A774" l="1"/>
  <c r="B773"/>
  <c r="A775" l="1"/>
  <c r="B774"/>
  <c r="A776" l="1"/>
  <c r="B775"/>
  <c r="A777" l="1"/>
  <c r="B776"/>
  <c r="A778" l="1"/>
  <c r="B777"/>
  <c r="A779" l="1"/>
  <c r="B778"/>
  <c r="A780" l="1"/>
  <c r="B779"/>
  <c r="A781" l="1"/>
  <c r="B780"/>
  <c r="A782" l="1"/>
  <c r="B781"/>
  <c r="A783" l="1"/>
  <c r="B782"/>
  <c r="A784" l="1"/>
  <c r="B783"/>
  <c r="A785" l="1"/>
  <c r="B784"/>
  <c r="A786" l="1"/>
  <c r="B785"/>
  <c r="A787" l="1"/>
  <c r="B786"/>
  <c r="A788" l="1"/>
  <c r="B787"/>
  <c r="A789" l="1"/>
  <c r="B788"/>
  <c r="A790" l="1"/>
  <c r="B789"/>
  <c r="A791" l="1"/>
  <c r="B790"/>
  <c r="A792" l="1"/>
  <c r="B791"/>
  <c r="A793" l="1"/>
  <c r="B792"/>
  <c r="A794" l="1"/>
  <c r="B793"/>
  <c r="A795" l="1"/>
  <c r="B794"/>
  <c r="A796" l="1"/>
  <c r="B795"/>
  <c r="A797" l="1"/>
  <c r="B796"/>
  <c r="A798" l="1"/>
  <c r="B797"/>
  <c r="A799" l="1"/>
  <c r="B798"/>
  <c r="A800" l="1"/>
  <c r="B799"/>
  <c r="A801" l="1"/>
  <c r="B800"/>
  <c r="A802" l="1"/>
  <c r="B801"/>
  <c r="A803" l="1"/>
  <c r="B802"/>
  <c r="A804" l="1"/>
  <c r="B803"/>
  <c r="A805" l="1"/>
  <c r="B804"/>
  <c r="A806" l="1"/>
  <c r="B805"/>
  <c r="A807" l="1"/>
  <c r="B806"/>
  <c r="A808" l="1"/>
  <c r="B807"/>
  <c r="A809" l="1"/>
  <c r="B808"/>
  <c r="A810" l="1"/>
  <c r="B809"/>
  <c r="A811" l="1"/>
  <c r="B810"/>
  <c r="A812" l="1"/>
  <c r="B811"/>
  <c r="A813" l="1"/>
  <c r="B812"/>
  <c r="A814" l="1"/>
  <c r="B813"/>
  <c r="A815" l="1"/>
  <c r="B814"/>
  <c r="A816" l="1"/>
  <c r="B815"/>
  <c r="A817" l="1"/>
  <c r="B816"/>
  <c r="A818" l="1"/>
  <c r="B817"/>
  <c r="A819" l="1"/>
  <c r="B818"/>
  <c r="A820" l="1"/>
  <c r="B819"/>
  <c r="A821" l="1"/>
  <c r="B820"/>
  <c r="A822" l="1"/>
  <c r="B821"/>
  <c r="A823" l="1"/>
  <c r="B822"/>
  <c r="A824" l="1"/>
  <c r="B823"/>
  <c r="A825" l="1"/>
  <c r="B824"/>
  <c r="A826" l="1"/>
  <c r="B825"/>
  <c r="A827" l="1"/>
  <c r="B826"/>
  <c r="A828" l="1"/>
  <c r="B827"/>
  <c r="A829" l="1"/>
  <c r="B828"/>
  <c r="A830" l="1"/>
  <c r="B829"/>
  <c r="A831" l="1"/>
  <c r="B830"/>
  <c r="A832" l="1"/>
  <c r="B831"/>
  <c r="A833" l="1"/>
  <c r="B832"/>
  <c r="A834" l="1"/>
  <c r="B833"/>
  <c r="A835" l="1"/>
  <c r="B834"/>
  <c r="A836" l="1"/>
  <c r="B835"/>
  <c r="A837" l="1"/>
  <c r="B836"/>
  <c r="A838" l="1"/>
  <c r="B837"/>
  <c r="A839" l="1"/>
  <c r="B838"/>
  <c r="A840" l="1"/>
  <c r="B839"/>
  <c r="A841" l="1"/>
  <c r="B840"/>
  <c r="A842" l="1"/>
  <c r="B841"/>
  <c r="A843" l="1"/>
  <c r="B842"/>
  <c r="A844" l="1"/>
  <c r="B843"/>
  <c r="A845" l="1"/>
  <c r="B844"/>
  <c r="A846" l="1"/>
  <c r="B845"/>
  <c r="A847" l="1"/>
  <c r="B846"/>
  <c r="A848" l="1"/>
  <c r="B847"/>
  <c r="A849" l="1"/>
  <c r="B848"/>
  <c r="A850" l="1"/>
  <c r="B849"/>
  <c r="A851" l="1"/>
  <c r="B850"/>
  <c r="A852" l="1"/>
  <c r="B851"/>
  <c r="A853" l="1"/>
  <c r="B852"/>
  <c r="A854" l="1"/>
  <c r="B853"/>
  <c r="A855" l="1"/>
  <c r="B854"/>
  <c r="A856" l="1"/>
  <c r="B855"/>
  <c r="A857" l="1"/>
  <c r="B856"/>
  <c r="A858" l="1"/>
  <c r="B857"/>
  <c r="A859" l="1"/>
  <c r="B858"/>
  <c r="A860" l="1"/>
  <c r="B859"/>
  <c r="A861" l="1"/>
  <c r="B860"/>
  <c r="A862" l="1"/>
  <c r="B861"/>
  <c r="A863" l="1"/>
  <c r="B862"/>
  <c r="A864" l="1"/>
  <c r="B863"/>
  <c r="A865" l="1"/>
  <c r="B864"/>
  <c r="A866" l="1"/>
  <c r="B865"/>
  <c r="A867" l="1"/>
  <c r="B866"/>
  <c r="A868" l="1"/>
  <c r="B867"/>
  <c r="A869" l="1"/>
  <c r="B868"/>
  <c r="A870" l="1"/>
  <c r="B869"/>
  <c r="A871" l="1"/>
  <c r="B870"/>
  <c r="A872" l="1"/>
  <c r="B871"/>
  <c r="A873" l="1"/>
  <c r="B872"/>
  <c r="A874" l="1"/>
  <c r="B873"/>
  <c r="A875" l="1"/>
  <c r="B874"/>
  <c r="A876" l="1"/>
  <c r="B875"/>
  <c r="A877" l="1"/>
  <c r="B876"/>
  <c r="A878" l="1"/>
  <c r="B877"/>
  <c r="A879" l="1"/>
  <c r="B878"/>
  <c r="A880" l="1"/>
  <c r="B879"/>
  <c r="A881" l="1"/>
  <c r="B880"/>
  <c r="A882" l="1"/>
  <c r="B881"/>
  <c r="A883" l="1"/>
  <c r="B882"/>
  <c r="A884" l="1"/>
  <c r="B883"/>
  <c r="A885" l="1"/>
  <c r="B884"/>
  <c r="A886" l="1"/>
  <c r="B885"/>
  <c r="A887" l="1"/>
  <c r="B886"/>
  <c r="A888" l="1"/>
  <c r="B887"/>
  <c r="A889" l="1"/>
  <c r="B888"/>
  <c r="A890" l="1"/>
  <c r="B889"/>
  <c r="A891" l="1"/>
  <c r="B890"/>
  <c r="A892" l="1"/>
  <c r="B891"/>
  <c r="A893" l="1"/>
  <c r="B892"/>
  <c r="A894" l="1"/>
  <c r="B893"/>
  <c r="A895" l="1"/>
  <c r="B894"/>
  <c r="A896" l="1"/>
  <c r="B895"/>
  <c r="A897" l="1"/>
  <c r="B896"/>
  <c r="A898" l="1"/>
  <c r="B897"/>
  <c r="A899" l="1"/>
  <c r="B898"/>
  <c r="A900" l="1"/>
  <c r="B899"/>
  <c r="A901" l="1"/>
  <c r="B900"/>
  <c r="A902" l="1"/>
  <c r="B901"/>
  <c r="A903" l="1"/>
  <c r="B902"/>
  <c r="A904" l="1"/>
  <c r="B903"/>
  <c r="A905" l="1"/>
  <c r="B904"/>
  <c r="A906" l="1"/>
  <c r="B905"/>
  <c r="A907" l="1"/>
  <c r="B906"/>
  <c r="A908" l="1"/>
  <c r="B907"/>
  <c r="A909" l="1"/>
  <c r="B908"/>
  <c r="A910" l="1"/>
  <c r="B909"/>
  <c r="A911" l="1"/>
  <c r="B910"/>
  <c r="A912" l="1"/>
  <c r="B911"/>
  <c r="A913" l="1"/>
  <c r="B912"/>
  <c r="A914" l="1"/>
  <c r="B913"/>
  <c r="A915" l="1"/>
  <c r="B914"/>
  <c r="A916" l="1"/>
  <c r="B915"/>
  <c r="A917" l="1"/>
  <c r="B916"/>
  <c r="A918" l="1"/>
  <c r="B917"/>
  <c r="A919" l="1"/>
  <c r="B918"/>
  <c r="A920" l="1"/>
  <c r="B919"/>
  <c r="A921" l="1"/>
  <c r="B920"/>
  <c r="A922" l="1"/>
  <c r="B921"/>
  <c r="A923" l="1"/>
  <c r="B922"/>
  <c r="A924" l="1"/>
  <c r="B923"/>
  <c r="A925" l="1"/>
  <c r="B924"/>
  <c r="A926" l="1"/>
  <c r="B925"/>
  <c r="A927" l="1"/>
  <c r="B926"/>
  <c r="A928" l="1"/>
  <c r="B927"/>
  <c r="A929" l="1"/>
  <c r="B928"/>
  <c r="A930" l="1"/>
  <c r="B929"/>
  <c r="A931" l="1"/>
  <c r="B930"/>
  <c r="A932" l="1"/>
  <c r="B931"/>
  <c r="A933" l="1"/>
  <c r="B932"/>
  <c r="A934" l="1"/>
  <c r="B933"/>
  <c r="A935" l="1"/>
  <c r="B934"/>
  <c r="A936" l="1"/>
  <c r="B935"/>
  <c r="A937" l="1"/>
  <c r="B936"/>
  <c r="A938" l="1"/>
  <c r="B937"/>
  <c r="A939" l="1"/>
  <c r="B938"/>
  <c r="A940" l="1"/>
  <c r="B939"/>
  <c r="A941" l="1"/>
  <c r="B940"/>
  <c r="A942" l="1"/>
  <c r="B941"/>
  <c r="A943" l="1"/>
  <c r="B942"/>
  <c r="A944" l="1"/>
  <c r="B943"/>
  <c r="A945" l="1"/>
  <c r="B944"/>
  <c r="A946" l="1"/>
  <c r="B945"/>
  <c r="A947" l="1"/>
  <c r="B946"/>
  <c r="A948" l="1"/>
  <c r="B947"/>
  <c r="A949" l="1"/>
  <c r="B948"/>
  <c r="A950" l="1"/>
  <c r="B949"/>
  <c r="A951" l="1"/>
  <c r="B950"/>
  <c r="A952" l="1"/>
  <c r="B951"/>
  <c r="A953" l="1"/>
  <c r="B952"/>
  <c r="A954" l="1"/>
  <c r="B953"/>
  <c r="A955" l="1"/>
  <c r="B954"/>
  <c r="A956" l="1"/>
  <c r="B955"/>
  <c r="A957" l="1"/>
  <c r="B956"/>
  <c r="A958" l="1"/>
  <c r="B957"/>
  <c r="A959" l="1"/>
  <c r="B958"/>
  <c r="A960" l="1"/>
  <c r="B959"/>
  <c r="A961" l="1"/>
  <c r="B960"/>
  <c r="A962" l="1"/>
  <c r="B961"/>
  <c r="A963" l="1"/>
  <c r="B962"/>
  <c r="A964" l="1"/>
  <c r="B963"/>
  <c r="A965" l="1"/>
  <c r="B964"/>
  <c r="A966" l="1"/>
  <c r="B965"/>
  <c r="A967" l="1"/>
  <c r="B966"/>
  <c r="A968" l="1"/>
  <c r="B967"/>
  <c r="A969" l="1"/>
  <c r="B968"/>
  <c r="A970" l="1"/>
  <c r="B969"/>
  <c r="A971" l="1"/>
  <c r="B970"/>
  <c r="A972" l="1"/>
  <c r="B971"/>
  <c r="A973" l="1"/>
  <c r="B972"/>
  <c r="A974" l="1"/>
  <c r="B973"/>
  <c r="A975" l="1"/>
  <c r="B974"/>
  <c r="A976" l="1"/>
  <c r="B975"/>
  <c r="A977" l="1"/>
  <c r="B976"/>
  <c r="A978" l="1"/>
  <c r="B977"/>
  <c r="A979" l="1"/>
  <c r="B978"/>
  <c r="A980" l="1"/>
  <c r="B979"/>
  <c r="A981" l="1"/>
  <c r="B980"/>
  <c r="A982" l="1"/>
  <c r="B981"/>
  <c r="A983" l="1"/>
  <c r="B982"/>
  <c r="A984" l="1"/>
  <c r="B983"/>
  <c r="A985" l="1"/>
  <c r="B984"/>
  <c r="A986" l="1"/>
  <c r="B985"/>
  <c r="A987" l="1"/>
  <c r="B986"/>
  <c r="A988" l="1"/>
  <c r="B987"/>
  <c r="A989" l="1"/>
  <c r="B988"/>
  <c r="A990" l="1"/>
  <c r="B989"/>
  <c r="A991" l="1"/>
  <c r="B990"/>
  <c r="A992" l="1"/>
  <c r="B991"/>
  <c r="A993" l="1"/>
  <c r="B992"/>
  <c r="A994" l="1"/>
  <c r="B993"/>
  <c r="A995" l="1"/>
  <c r="B994"/>
  <c r="A996" l="1"/>
  <c r="B995"/>
  <c r="A997" l="1"/>
  <c r="B996"/>
  <c r="A998" l="1"/>
  <c r="B997"/>
  <c r="A999" l="1"/>
  <c r="B998"/>
  <c r="A1000" l="1"/>
  <c r="B999"/>
  <c r="A1001" l="1"/>
  <c r="B1000"/>
  <c r="A1002" l="1"/>
  <c r="B1001"/>
  <c r="A1003" l="1"/>
  <c r="B1002"/>
  <c r="A1004" l="1"/>
  <c r="B1003"/>
  <c r="A1005" l="1"/>
  <c r="B1004"/>
  <c r="A1006" l="1"/>
  <c r="B1005"/>
  <c r="A1007" l="1"/>
  <c r="B1006"/>
  <c r="A1008" l="1"/>
  <c r="B1007"/>
  <c r="A1009" l="1"/>
  <c r="B1008"/>
  <c r="A1010" l="1"/>
  <c r="B1009"/>
  <c r="A1011" l="1"/>
  <c r="B1010"/>
  <c r="A1012" l="1"/>
  <c r="B1011"/>
  <c r="A1013" l="1"/>
  <c r="B1012"/>
  <c r="A1014" l="1"/>
  <c r="B1013"/>
  <c r="A1015" l="1"/>
  <c r="B1014"/>
  <c r="A1016" l="1"/>
  <c r="B1015"/>
  <c r="A1017" l="1"/>
  <c r="B1016"/>
  <c r="A1018" l="1"/>
  <c r="B1017"/>
  <c r="A1019" l="1"/>
  <c r="B1018"/>
  <c r="A1020" l="1"/>
  <c r="B1019"/>
  <c r="A1021" l="1"/>
  <c r="B1020"/>
  <c r="A1022" l="1"/>
  <c r="B1021"/>
  <c r="A1023" l="1"/>
  <c r="B1022"/>
  <c r="A1024" l="1"/>
  <c r="B1023"/>
  <c r="A1025" l="1"/>
  <c r="B1024"/>
  <c r="A1026" l="1"/>
  <c r="B1025"/>
  <c r="A1027" l="1"/>
  <c r="B1026"/>
  <c r="A1028" l="1"/>
  <c r="B1027"/>
  <c r="A1029" l="1"/>
  <c r="B1028"/>
  <c r="A1030" l="1"/>
  <c r="B1029"/>
  <c r="A1031" l="1"/>
  <c r="B1030"/>
  <c r="A1032" l="1"/>
  <c r="B1031"/>
  <c r="A1033" l="1"/>
  <c r="B1032"/>
  <c r="A1034" l="1"/>
  <c r="B1033"/>
  <c r="A1035" l="1"/>
  <c r="B1034"/>
  <c r="A1036" l="1"/>
  <c r="B1035"/>
  <c r="A1037" l="1"/>
  <c r="B1036"/>
  <c r="A1038" l="1"/>
  <c r="B1037"/>
  <c r="A1039" l="1"/>
  <c r="B1038"/>
  <c r="A1040" l="1"/>
  <c r="B1039"/>
  <c r="A1041" l="1"/>
  <c r="B1040"/>
  <c r="A1042" l="1"/>
  <c r="B1041"/>
  <c r="A1043" l="1"/>
  <c r="B1042"/>
  <c r="A1044" l="1"/>
  <c r="B1043"/>
  <c r="A1045" l="1"/>
  <c r="B1044"/>
  <c r="A1046" l="1"/>
  <c r="B1045"/>
  <c r="A1047" l="1"/>
  <c r="B1046"/>
  <c r="A1048" l="1"/>
  <c r="B1047"/>
  <c r="A1049" l="1"/>
  <c r="B1048"/>
  <c r="A1050" l="1"/>
  <c r="B1049"/>
  <c r="A1051" l="1"/>
  <c r="B1050"/>
  <c r="A1052" l="1"/>
  <c r="B1051"/>
  <c r="A1053" l="1"/>
  <c r="B1052"/>
  <c r="A1054" l="1"/>
  <c r="B1053"/>
  <c r="A1055" l="1"/>
  <c r="B1054"/>
  <c r="A1056" l="1"/>
  <c r="B1055"/>
  <c r="A1057" l="1"/>
  <c r="B1056"/>
  <c r="A1058" l="1"/>
  <c r="B1057"/>
  <c r="A1059" l="1"/>
  <c r="B1058"/>
  <c r="A1060" l="1"/>
  <c r="B1059"/>
  <c r="A1061" l="1"/>
  <c r="B1060"/>
  <c r="A1062" l="1"/>
  <c r="B1061"/>
  <c r="A1063" l="1"/>
  <c r="B1062"/>
  <c r="A1064" l="1"/>
  <c r="B1063"/>
  <c r="A1065" l="1"/>
  <c r="B1064"/>
  <c r="A1066" l="1"/>
  <c r="B1065"/>
  <c r="A1067" l="1"/>
  <c r="B1066"/>
  <c r="A1068" l="1"/>
  <c r="B1067"/>
  <c r="A1069" l="1"/>
  <c r="B1068"/>
  <c r="A1070" l="1"/>
  <c r="B1069"/>
  <c r="A1071" l="1"/>
  <c r="B1070"/>
  <c r="A1072" l="1"/>
  <c r="B1071"/>
  <c r="A1073" l="1"/>
  <c r="B1072"/>
  <c r="A1074" l="1"/>
  <c r="B1073"/>
  <c r="A1075" l="1"/>
  <c r="B1074"/>
  <c r="A1076" l="1"/>
  <c r="B1075"/>
  <c r="A1077" l="1"/>
  <c r="B1076"/>
  <c r="A1078" l="1"/>
  <c r="B1077"/>
  <c r="A1079" l="1"/>
  <c r="B1078"/>
  <c r="A1080" l="1"/>
  <c r="B1079"/>
  <c r="A1081" l="1"/>
  <c r="B1080"/>
  <c r="A1082" l="1"/>
  <c r="B1081"/>
  <c r="A1083" l="1"/>
  <c r="B1082"/>
  <c r="A1084" l="1"/>
  <c r="B1083"/>
  <c r="A1085" l="1"/>
  <c r="B1084"/>
  <c r="A1086" l="1"/>
  <c r="B1085"/>
  <c r="A1087" l="1"/>
  <c r="B1086"/>
  <c r="A1088" l="1"/>
  <c r="B1087"/>
  <c r="A1089" l="1"/>
  <c r="B1088"/>
  <c r="A1090" l="1"/>
  <c r="B1089"/>
  <c r="A1091" l="1"/>
  <c r="B1090"/>
  <c r="A1092" l="1"/>
  <c r="B1091"/>
  <c r="A1093" l="1"/>
  <c r="B1092"/>
  <c r="A1094" l="1"/>
  <c r="B1093"/>
  <c r="A1095" l="1"/>
  <c r="B1094"/>
  <c r="A1096" l="1"/>
  <c r="B1095"/>
  <c r="A1097" l="1"/>
  <c r="B1096"/>
  <c r="A1098" l="1"/>
  <c r="B1097"/>
  <c r="A1099" l="1"/>
  <c r="B1098"/>
  <c r="A1100" l="1"/>
  <c r="B1099"/>
  <c r="A1101" l="1"/>
  <c r="B1100"/>
  <c r="A1102" l="1"/>
  <c r="B1101"/>
  <c r="A1103" l="1"/>
  <c r="B1102"/>
  <c r="A1104" l="1"/>
  <c r="B1103"/>
  <c r="A1105" l="1"/>
  <c r="B1104"/>
  <c r="A1106" l="1"/>
  <c r="B1105"/>
  <c r="A1107" l="1"/>
  <c r="B1106"/>
  <c r="A1108" l="1"/>
  <c r="B1107"/>
  <c r="A1109" l="1"/>
  <c r="B1108"/>
  <c r="A1110" l="1"/>
  <c r="B1109"/>
  <c r="A1111" l="1"/>
  <c r="B1110"/>
  <c r="A1112" l="1"/>
  <c r="B1111"/>
  <c r="A1113" l="1"/>
  <c r="B1112"/>
  <c r="A1114" l="1"/>
  <c r="B1113"/>
  <c r="A1115" l="1"/>
  <c r="B1114"/>
  <c r="A1116" l="1"/>
  <c r="B1115"/>
  <c r="A1117" l="1"/>
  <c r="B1116"/>
  <c r="A1118" l="1"/>
  <c r="B1117"/>
  <c r="A1119" l="1"/>
  <c r="B1118"/>
  <c r="A1120" l="1"/>
  <c r="B1119"/>
  <c r="A1121" l="1"/>
  <c r="B1120"/>
  <c r="A1122" l="1"/>
  <c r="B1121"/>
  <c r="A1123" l="1"/>
  <c r="B1123" s="1"/>
  <c r="B1122"/>
  <c r="H8" l="1"/>
  <c r="B10" i="20" s="1"/>
  <c r="C17" s="1"/>
  <c r="H13" i="19"/>
  <c r="H9" l="1"/>
  <c r="D17" i="20"/>
  <c r="D13" i="19"/>
  <c r="D9"/>
  <c r="M13" l="1"/>
  <c r="B17" i="20"/>
  <c r="B18" s="1"/>
  <c r="M9" i="19"/>
  <c r="B20" i="20" l="1"/>
</calcChain>
</file>

<file path=xl/sharedStrings.xml><?xml version="1.0" encoding="utf-8"?>
<sst xmlns="http://schemas.openxmlformats.org/spreadsheetml/2006/main" count="148" uniqueCount="54">
  <si>
    <t>=</t>
  </si>
  <si>
    <t>mod</t>
  </si>
  <si>
    <t>Dit tabblad berekent machten (modulo…)</t>
  </si>
  <si>
    <t>aan de hand van fast exponentiation.</t>
  </si>
  <si>
    <t>a</t>
  </si>
  <si>
    <t>b</t>
  </si>
  <si>
    <t>+</t>
  </si>
  <si>
    <t>c</t>
  </si>
  <si>
    <t>n</t>
  </si>
  <si>
    <t>de oplossing vind je in de omkaderde cel.</t>
  </si>
  <si>
    <t>fie(n)</t>
  </si>
  <si>
    <t>Dit tabblad berekent de priemontbinding en de euler-fie-functie</t>
  </si>
  <si>
    <t>van een gegeven getal.</t>
  </si>
  <si>
    <t>De grijze cel vul je in (of wordt ingevuld via startblad...)</t>
  </si>
  <si>
    <t>x</t>
  </si>
  <si>
    <t>y</t>
  </si>
  <si>
    <t>PLUS VEELVOUD VAN</t>
  </si>
  <si>
    <t>hier is eerste coeff positief</t>
  </si>
  <si>
    <t>Dit tabblad berekent machten (ZONDER modulo)</t>
  </si>
  <si>
    <t>Dit tabblad berekent de kleinste deler van x,</t>
  </si>
  <si>
    <t>groter dan 'grens'.</t>
  </si>
  <si>
    <t>grens</t>
  </si>
  <si>
    <t>to do</t>
  </si>
  <si>
    <t>nog niet maken</t>
  </si>
  <si>
    <t>(voor kleine a,b)</t>
  </si>
  <si>
    <t>Vul drie van de vier cellen in, en bereken de vierde met een druk op de knop.</t>
  </si>
  <si>
    <t>Let op: hier moet de methode gevolgd worden die je ook 'te voet' zou volgen. Dus niet alle getallen aflopen en controleren of de gehele deling mooi opgaat.</t>
  </si>
  <si>
    <t>De grijze cellen zijn gegeven. In de kaders die met stippellijn zijn omkaderd,</t>
  </si>
  <si>
    <t>inclusief de lineaire combinatie ax+by die gelijk is aan de ggd.</t>
  </si>
  <si>
    <t>Dit tabblad berekent de ggd van twee getallen a en b;</t>
  </si>
  <si>
    <t>ggd</t>
  </si>
  <si>
    <t>f</t>
  </si>
  <si>
    <t>e</t>
  </si>
  <si>
    <t>vind je een eerste mogelijke oplossing voor x en y.</t>
  </si>
  <si>
    <t>In de kaders die dubbel omkaderd zijn, vind je e en f (zie theorie).</t>
  </si>
  <si>
    <t>Dit tabblad lost de vgl ax + by = c op, als dat mogelijk is.</t>
  </si>
  <si>
    <t>In de kaders op de laatste rij vind je een oplossing voor x en y, waarbij x positief is.</t>
  </si>
  <si>
    <t>De grijze cellen zijn gegeven.</t>
  </si>
  <si>
    <t>In de kaders met rand, vind je de oplossing voor x, y en ggd.</t>
  </si>
  <si>
    <t>(start hiermee)</t>
  </si>
  <si>
    <t>De grijze cellen zijn gegeven,</t>
  </si>
  <si>
    <t>max</t>
  </si>
  <si>
    <t>min</t>
  </si>
  <si>
    <t xml:space="preserve">* </t>
  </si>
  <si>
    <t>vermenigvuldigen met</t>
  </si>
  <si>
    <t>k</t>
  </si>
  <si>
    <t>gezocht</t>
  </si>
  <si>
    <t>Stap 1</t>
  </si>
  <si>
    <t>Stap 2</t>
  </si>
  <si>
    <t>u</t>
  </si>
  <si>
    <t>phi</t>
  </si>
  <si>
    <t>v</t>
  </si>
  <si>
    <t>Stap 3</t>
  </si>
  <si>
    <t>u=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</si>
</sst>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ck">
        <color theme="2" tint="-0.24994659260841701"/>
      </left>
      <right/>
      <top/>
      <bottom/>
      <diagonal/>
    </border>
    <border>
      <left style="thick">
        <color theme="2" tint="-0.24994659260841701"/>
      </left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 style="thick">
        <color theme="2" tint="-0.499984740745262"/>
      </left>
      <right style="thick">
        <color theme="2" tint="-0.499984740745262"/>
      </right>
      <top style="thick">
        <color theme="2" tint="-0.499984740745262"/>
      </top>
      <bottom style="thick">
        <color theme="2" tint="-0.499984740745262"/>
      </bottom>
      <diagonal/>
    </border>
    <border>
      <left style="mediumDashDot">
        <color theme="2" tint="-0.24994659260841701"/>
      </left>
      <right style="mediumDashDot">
        <color theme="2" tint="-0.24994659260841701"/>
      </right>
      <top style="mediumDashDot">
        <color theme="2" tint="-0.24994659260841701"/>
      </top>
      <bottom style="mediumDashDot">
        <color theme="2" tint="-0.24994659260841701"/>
      </bottom>
      <diagonal/>
    </border>
    <border>
      <left style="double">
        <color theme="2" tint="-0.499984740745262"/>
      </left>
      <right style="double">
        <color theme="2" tint="-0.499984740745262"/>
      </right>
      <top style="double">
        <color theme="2" tint="-0.499984740745262"/>
      </top>
      <bottom style="double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/>
      <top style="thick">
        <color theme="2" tint="-0.499984740745262"/>
      </top>
      <bottom/>
      <diagonal/>
    </border>
    <border>
      <left style="thick">
        <color theme="2" tint="-0.24994659260841701"/>
      </left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4" fillId="0" borderId="0" xfId="0" applyFont="1"/>
    <xf numFmtId="0" fontId="1" fillId="0" borderId="0" xfId="0" quotePrefix="1" applyFont="1" applyAlignment="1">
      <alignment horizontal="right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3" fillId="0" borderId="0" xfId="0" applyFont="1" applyFill="1" applyBorder="1" applyAlignment="1">
      <alignment horizontal="center" vertical="center"/>
    </xf>
    <xf numFmtId="1" fontId="0" fillId="0" borderId="0" xfId="0" applyNumberFormat="1"/>
    <xf numFmtId="0" fontId="9" fillId="0" borderId="0" xfId="0" applyFont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/>
    </xf>
    <xf numFmtId="0" fontId="1" fillId="0" borderId="0" xfId="0" quotePrefix="1" applyFont="1" applyFill="1" applyAlignment="1">
      <alignment horizontal="center" vertical="center"/>
    </xf>
    <xf numFmtId="0" fontId="0" fillId="0" borderId="1" xfId="0" applyBorder="1" applyAlignment="1"/>
    <xf numFmtId="0" fontId="0" fillId="0" borderId="0" xfId="0" applyBorder="1" applyAlignment="1"/>
    <xf numFmtId="0" fontId="0" fillId="0" borderId="0" xfId="0" quotePrefix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7" fillId="0" borderId="0" xfId="0" applyFont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7" fillId="0" borderId="0" xfId="0" applyFont="1" applyBorder="1" applyAlignment="1">
      <alignment vertical="top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11" fillId="0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3" fillId="0" borderId="0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4" borderId="0" xfId="0" applyFont="1" applyFill="1" applyAlignment="1">
      <alignment horizontal="right" vertical="top"/>
    </xf>
    <xf numFmtId="0" fontId="6" fillId="4" borderId="0" xfId="0" applyFont="1" applyFill="1" applyAlignment="1">
      <alignment horizontal="left"/>
    </xf>
    <xf numFmtId="0" fontId="7" fillId="4" borderId="0" xfId="0" applyFont="1" applyFill="1" applyAlignment="1">
      <alignment horizontal="center" vertical="top"/>
    </xf>
    <xf numFmtId="0" fontId="8" fillId="0" borderId="0" xfId="0" applyFont="1" applyFill="1" applyAlignment="1">
      <alignment horizontal="right" vertical="top"/>
    </xf>
    <xf numFmtId="0" fontId="0" fillId="0" borderId="0" xfId="0" applyFill="1" applyAlignment="1">
      <alignment vertical="top"/>
    </xf>
    <xf numFmtId="0" fontId="7" fillId="0" borderId="0" xfId="0" applyFont="1" applyFill="1" applyAlignment="1">
      <alignment horizontal="right" vertical="top"/>
    </xf>
    <xf numFmtId="0" fontId="7" fillId="0" borderId="0" xfId="0" applyFont="1" applyFill="1" applyBorder="1" applyAlignment="1">
      <alignment vertical="top"/>
    </xf>
    <xf numFmtId="0" fontId="7" fillId="0" borderId="0" xfId="0" quotePrefix="1" applyFont="1" applyFill="1" applyAlignment="1">
      <alignment vertical="top"/>
    </xf>
    <xf numFmtId="0" fontId="7" fillId="0" borderId="0" xfId="0" applyFont="1" applyFill="1" applyAlignment="1">
      <alignment horizontal="center" vertical="top"/>
    </xf>
    <xf numFmtId="0" fontId="7" fillId="0" borderId="0" xfId="0" applyFont="1" applyFill="1" applyAlignment="1">
      <alignment vertical="top"/>
    </xf>
    <xf numFmtId="0" fontId="0" fillId="0" borderId="0" xfId="0" applyFill="1" applyAlignment="1">
      <alignment horizontal="left" vertical="top"/>
    </xf>
    <xf numFmtId="0" fontId="15" fillId="0" borderId="0" xfId="0" quotePrefix="1" applyFont="1" applyFill="1" applyBorder="1" applyAlignment="1">
      <alignment horizontal="left"/>
    </xf>
    <xf numFmtId="0" fontId="3" fillId="0" borderId="7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0" fillId="0" borderId="8" xfId="0" applyBorder="1"/>
    <xf numFmtId="0" fontId="0" fillId="0" borderId="9" xfId="0" applyBorder="1"/>
    <xf numFmtId="0" fontId="3" fillId="0" borderId="10" xfId="0" applyFont="1" applyFill="1" applyBorder="1" applyAlignment="1">
      <alignment horizontal="center" vertical="center"/>
    </xf>
    <xf numFmtId="1" fontId="3" fillId="0" borderId="10" xfId="0" applyNumberFormat="1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2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4" fillId="3" borderId="0" xfId="0" applyFont="1" applyFill="1" applyAlignment="1">
      <alignment vertical="center" wrapText="1"/>
    </xf>
    <xf numFmtId="0" fontId="12" fillId="3" borderId="0" xfId="0" applyFont="1" applyFill="1" applyAlignment="1">
      <alignment vertical="center" wrapText="1"/>
    </xf>
    <xf numFmtId="0" fontId="0" fillId="0" borderId="0" xfId="0" applyAlignment="1"/>
    <xf numFmtId="0" fontId="0" fillId="0" borderId="0" xfId="0" applyFont="1" applyAlignment="1">
      <alignment horizontal="right"/>
    </xf>
    <xf numFmtId="0" fontId="0" fillId="0" borderId="11" xfId="0" applyBorder="1"/>
    <xf numFmtId="0" fontId="0" fillId="0" borderId="11" xfId="0" applyFont="1" applyBorder="1" applyAlignment="1">
      <alignment horizontal="left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/>
  <dimension ref="A2:L10"/>
  <sheetViews>
    <sheetView tabSelected="1" zoomScale="75" zoomScaleNormal="75" workbookViewId="0">
      <selection activeCell="F21" sqref="F21"/>
    </sheetView>
  </sheetViews>
  <sheetFormatPr defaultRowHeight="15.75"/>
  <cols>
    <col min="1" max="1" width="10.28515625" style="9" bestFit="1" customWidth="1"/>
    <col min="2" max="2" width="7.140625" customWidth="1"/>
    <col min="4" max="4" width="28.140625" bestFit="1" customWidth="1"/>
    <col min="5" max="5" width="29.5703125" bestFit="1" customWidth="1"/>
    <col min="7" max="7" width="33.7109375" bestFit="1" customWidth="1"/>
    <col min="8" max="8" width="15.140625" customWidth="1"/>
    <col min="9" max="9" width="37.28515625" bestFit="1" customWidth="1"/>
    <col min="11" max="11" width="50.85546875" style="10" bestFit="1" customWidth="1"/>
    <col min="12" max="12" width="23.85546875" customWidth="1"/>
  </cols>
  <sheetData>
    <row r="2" spans="1:12" ht="46.5" customHeight="1">
      <c r="A2" s="69" t="s">
        <v>25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</row>
    <row r="5" spans="1:12" ht="36.75" customHeight="1">
      <c r="D5" s="8"/>
      <c r="E5" s="45">
        <v>5</v>
      </c>
      <c r="F5" s="8"/>
      <c r="G5" s="8"/>
      <c r="H5" s="8"/>
    </row>
    <row r="6" spans="1:12" s="24" customFormat="1" ht="62.25" customHeight="1">
      <c r="A6" s="23"/>
      <c r="D6" s="44">
        <v>9</v>
      </c>
      <c r="E6" s="29"/>
      <c r="F6" s="26" t="s">
        <v>0</v>
      </c>
      <c r="G6" s="46">
        <v>3</v>
      </c>
      <c r="H6" s="25" t="s">
        <v>1</v>
      </c>
      <c r="I6" s="46">
        <v>13</v>
      </c>
      <c r="K6" s="27"/>
    </row>
    <row r="7" spans="1:12" s="48" customFormat="1" ht="26.25" customHeight="1">
      <c r="A7" s="47"/>
      <c r="D7" s="49"/>
      <c r="E7" s="50"/>
      <c r="F7" s="51"/>
      <c r="G7" s="52"/>
      <c r="H7" s="53"/>
      <c r="I7" s="52"/>
      <c r="K7" s="54"/>
    </row>
    <row r="8" spans="1:12" ht="51" customHeight="1"/>
    <row r="9" spans="1:12" s="31" customFormat="1" ht="33" customHeight="1">
      <c r="D9" s="31" t="s">
        <v>22</v>
      </c>
      <c r="E9" s="31" t="s">
        <v>23</v>
      </c>
      <c r="G9" s="31" t="s">
        <v>22</v>
      </c>
      <c r="I9" s="31" t="s">
        <v>22</v>
      </c>
    </row>
    <row r="10" spans="1:12" s="31" customFormat="1" ht="33" customHeight="1">
      <c r="G10" s="31" t="s">
        <v>39</v>
      </c>
      <c r="I10" s="31" t="s">
        <v>24</v>
      </c>
    </row>
  </sheetData>
  <mergeCells count="1">
    <mergeCell ref="A2:L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7"/>
  <dimension ref="A2:H1363"/>
  <sheetViews>
    <sheetView workbookViewId="0">
      <selection activeCell="D8" sqref="D8"/>
    </sheetView>
  </sheetViews>
  <sheetFormatPr defaultRowHeight="15"/>
  <cols>
    <col min="1" max="1" width="15.42578125" customWidth="1"/>
    <col min="2" max="2" width="17.28515625" customWidth="1"/>
    <col min="3" max="3" width="11.28515625" customWidth="1"/>
    <col min="5" max="5" width="11" customWidth="1"/>
    <col min="6" max="6" width="11.85546875" customWidth="1"/>
    <col min="8" max="8" width="10.7109375" bestFit="1" customWidth="1"/>
  </cols>
  <sheetData>
    <row r="2" spans="1:8" s="1" customFormat="1" ht="23.25">
      <c r="B2" s="1" t="s">
        <v>2</v>
      </c>
    </row>
    <row r="3" spans="1:8" s="1" customFormat="1" ht="23.25">
      <c r="B3" s="1" t="s">
        <v>3</v>
      </c>
    </row>
    <row r="4" spans="1:8" s="1" customFormat="1" ht="23.25">
      <c r="B4" s="1" t="s">
        <v>40</v>
      </c>
    </row>
    <row r="5" spans="1:8" s="1" customFormat="1" ht="23.25">
      <c r="B5" s="1" t="s">
        <v>9</v>
      </c>
    </row>
    <row r="7" spans="1:8">
      <c r="E7" s="22"/>
    </row>
    <row r="8" spans="1:8" ht="30.75" customHeight="1" thickBot="1">
      <c r="C8" s="4"/>
      <c r="D8" s="57">
        <v>5</v>
      </c>
    </row>
    <row r="9" spans="1:8" ht="37.5" customHeight="1" thickTop="1" thickBot="1">
      <c r="C9" s="15">
        <v>3</v>
      </c>
      <c r="E9" s="3" t="s">
        <v>1</v>
      </c>
      <c r="F9" s="15">
        <v>13</v>
      </c>
      <c r="G9" s="2" t="s">
        <v>0</v>
      </c>
      <c r="H9" s="60">
        <f>C12</f>
        <v>9</v>
      </c>
    </row>
    <row r="10" spans="1:8" s="58" customFormat="1" ht="30.75" customHeight="1" thickTop="1" thickBot="1"/>
    <row r="11" spans="1:8" s="59" customFormat="1" ht="30.75" customHeight="1" thickTop="1"/>
    <row r="12" spans="1:8">
      <c r="A12">
        <f>fast_exp_b</f>
        <v>5</v>
      </c>
      <c r="B12" t="str">
        <f>IF(ISEVEN(A12),"kwadraat","maal")</f>
        <v>maal</v>
      </c>
      <c r="C12" s="5">
        <f>IF(A12=1,fast_exp_a,MOD(IF(B12="kwadraat",C13*C13,C13*fast_exp_a),$F$9))</f>
        <v>9</v>
      </c>
    </row>
    <row r="13" spans="1:8">
      <c r="A13">
        <f>IF(ISEVEN(A12),A12/2,A12-1)</f>
        <v>4</v>
      </c>
      <c r="B13" t="str">
        <f t="shared" ref="B13:B76" si="0">IF(ISEVEN(A13),"kwadraat","maal")</f>
        <v>kwadraat</v>
      </c>
      <c r="C13" s="5">
        <f>IF(A13=1,fast_exp_a,MOD(IF(B13="kwadraat",C14*C14,C14*fast_exp_a),$F$9))</f>
        <v>3</v>
      </c>
    </row>
    <row r="14" spans="1:8">
      <c r="A14">
        <f t="shared" ref="A14:A77" si="1">IF(ISEVEN(A13),A13/2,A13-1)</f>
        <v>2</v>
      </c>
      <c r="B14" t="str">
        <f t="shared" si="0"/>
        <v>kwadraat</v>
      </c>
      <c r="C14" s="5">
        <f>IF(A14=1,fast_exp_a,MOD(IF(B14="kwadraat",C15*C15,C15*fast_exp_a),$F$9))</f>
        <v>9</v>
      </c>
    </row>
    <row r="15" spans="1:8">
      <c r="A15">
        <f t="shared" si="1"/>
        <v>1</v>
      </c>
      <c r="B15" t="str">
        <f t="shared" si="0"/>
        <v>maal</v>
      </c>
      <c r="C15" s="5">
        <f>IF(A15=1,fast_exp_a,MOD(IF(B15="kwadraat",C16*C16,C16*fast_exp_a),$F$9))</f>
        <v>3</v>
      </c>
    </row>
    <row r="16" spans="1:8">
      <c r="A16">
        <f t="shared" si="1"/>
        <v>0</v>
      </c>
      <c r="B16" t="str">
        <f t="shared" si="0"/>
        <v>kwadraat</v>
      </c>
      <c r="C16" s="5">
        <f>IF(A16=1,fast_exp_a,MOD(IF(B16="kwadraat",C17*C17,C17*fast_exp_a),$F$9))</f>
        <v>0</v>
      </c>
    </row>
    <row r="17" spans="1:3">
      <c r="A17">
        <f t="shared" si="1"/>
        <v>0</v>
      </c>
      <c r="B17" t="str">
        <f t="shared" si="0"/>
        <v>kwadraat</v>
      </c>
      <c r="C17" s="5">
        <f>IF(A17=1,fast_exp_a,MOD(IF(B17="kwadraat",C18*C18,C18*fast_exp_a),$F$9))</f>
        <v>0</v>
      </c>
    </row>
    <row r="18" spans="1:3">
      <c r="A18">
        <f t="shared" si="1"/>
        <v>0</v>
      </c>
      <c r="B18" t="str">
        <f t="shared" si="0"/>
        <v>kwadraat</v>
      </c>
      <c r="C18" s="5">
        <f>IF(A18=1,fast_exp_a,MOD(IF(B18="kwadraat",C19*C19,C19*fast_exp_a),$F$9))</f>
        <v>0</v>
      </c>
    </row>
    <row r="19" spans="1:3">
      <c r="A19">
        <f t="shared" si="1"/>
        <v>0</v>
      </c>
      <c r="B19" t="str">
        <f t="shared" si="0"/>
        <v>kwadraat</v>
      </c>
      <c r="C19" s="5">
        <f>IF(A19=1,fast_exp_a,MOD(IF(B19="kwadraat",C20*C20,C20*fast_exp_a),$F$9))</f>
        <v>0</v>
      </c>
    </row>
    <row r="20" spans="1:3">
      <c r="A20">
        <f t="shared" si="1"/>
        <v>0</v>
      </c>
      <c r="B20" t="str">
        <f t="shared" si="0"/>
        <v>kwadraat</v>
      </c>
      <c r="C20" s="5">
        <f>IF(A20=1,fast_exp_a,MOD(IF(B20="kwadraat",C21*C21,C21*fast_exp_a),$F$9))</f>
        <v>0</v>
      </c>
    </row>
    <row r="21" spans="1:3">
      <c r="A21">
        <f t="shared" si="1"/>
        <v>0</v>
      </c>
      <c r="B21" t="str">
        <f t="shared" si="0"/>
        <v>kwadraat</v>
      </c>
      <c r="C21" s="5">
        <f>IF(A21=1,fast_exp_a,MOD(IF(B21="kwadraat",C22*C22,C22*fast_exp_a),$F$9))</f>
        <v>0</v>
      </c>
    </row>
    <row r="22" spans="1:3">
      <c r="A22">
        <f t="shared" si="1"/>
        <v>0</v>
      </c>
      <c r="B22" t="str">
        <f t="shared" si="0"/>
        <v>kwadraat</v>
      </c>
      <c r="C22" s="5">
        <f>IF(A22=1,fast_exp_a,MOD(IF(B22="kwadraat",C23*C23,C23*fast_exp_a),$F$9))</f>
        <v>0</v>
      </c>
    </row>
    <row r="23" spans="1:3">
      <c r="A23">
        <f t="shared" si="1"/>
        <v>0</v>
      </c>
      <c r="B23" t="str">
        <f t="shared" si="0"/>
        <v>kwadraat</v>
      </c>
      <c r="C23" s="5">
        <f>IF(A23=1,fast_exp_a,MOD(IF(B23="kwadraat",C24*C24,C24*fast_exp_a),$F$9))</f>
        <v>0</v>
      </c>
    </row>
    <row r="24" spans="1:3">
      <c r="A24">
        <f t="shared" si="1"/>
        <v>0</v>
      </c>
      <c r="B24" t="str">
        <f t="shared" si="0"/>
        <v>kwadraat</v>
      </c>
      <c r="C24" s="5">
        <f>IF(A24=1,fast_exp_a,MOD(IF(B24="kwadraat",C25*C25,C25*fast_exp_a),$F$9))</f>
        <v>0</v>
      </c>
    </row>
    <row r="25" spans="1:3">
      <c r="A25">
        <f t="shared" si="1"/>
        <v>0</v>
      </c>
      <c r="B25" t="str">
        <f t="shared" si="0"/>
        <v>kwadraat</v>
      </c>
      <c r="C25" s="5">
        <f>IF(A25=1,fast_exp_a,MOD(IF(B25="kwadraat",C26*C26,C26*fast_exp_a),$F$9))</f>
        <v>0</v>
      </c>
    </row>
    <row r="26" spans="1:3">
      <c r="A26">
        <f t="shared" si="1"/>
        <v>0</v>
      </c>
      <c r="B26" t="str">
        <f t="shared" si="0"/>
        <v>kwadraat</v>
      </c>
      <c r="C26" s="5">
        <f>IF(A26=1,fast_exp_a,MOD(IF(B26="kwadraat",C27*C27,C27*fast_exp_a),$F$9))</f>
        <v>0</v>
      </c>
    </row>
    <row r="27" spans="1:3">
      <c r="A27">
        <f t="shared" si="1"/>
        <v>0</v>
      </c>
      <c r="B27" t="str">
        <f t="shared" si="0"/>
        <v>kwadraat</v>
      </c>
      <c r="C27" s="5">
        <f>IF(A27=1,fast_exp_a,MOD(IF(B27="kwadraat",C28*C28,C28*fast_exp_a),$F$9))</f>
        <v>0</v>
      </c>
    </row>
    <row r="28" spans="1:3">
      <c r="A28">
        <f t="shared" si="1"/>
        <v>0</v>
      </c>
      <c r="B28" t="str">
        <f t="shared" si="0"/>
        <v>kwadraat</v>
      </c>
      <c r="C28" s="5">
        <f>IF(A28=1,fast_exp_a,MOD(IF(B28="kwadraat",C29*C29,C29*fast_exp_a),$F$9))</f>
        <v>0</v>
      </c>
    </row>
    <row r="29" spans="1:3">
      <c r="A29">
        <f t="shared" si="1"/>
        <v>0</v>
      </c>
      <c r="B29" t="str">
        <f t="shared" si="0"/>
        <v>kwadraat</v>
      </c>
      <c r="C29" s="5">
        <f>IF(A29=1,fast_exp_a,MOD(IF(B29="kwadraat",C30*C30,C30*fast_exp_a),$F$9))</f>
        <v>0</v>
      </c>
    </row>
    <row r="30" spans="1:3">
      <c r="A30">
        <f t="shared" si="1"/>
        <v>0</v>
      </c>
      <c r="B30" t="str">
        <f t="shared" si="0"/>
        <v>kwadraat</v>
      </c>
      <c r="C30" s="5">
        <f>IF(A30=1,fast_exp_a,MOD(IF(B30="kwadraat",C31*C31,C31*fast_exp_a),$F$9))</f>
        <v>0</v>
      </c>
    </row>
    <row r="31" spans="1:3">
      <c r="A31">
        <f t="shared" si="1"/>
        <v>0</v>
      </c>
      <c r="B31" t="str">
        <f t="shared" si="0"/>
        <v>kwadraat</v>
      </c>
      <c r="C31" s="5">
        <f>IF(A31=1,fast_exp_a,MOD(IF(B31="kwadraat",C32*C32,C32*fast_exp_a),$F$9))</f>
        <v>0</v>
      </c>
    </row>
    <row r="32" spans="1:3">
      <c r="A32">
        <f t="shared" si="1"/>
        <v>0</v>
      </c>
      <c r="B32" t="str">
        <f t="shared" si="0"/>
        <v>kwadraat</v>
      </c>
      <c r="C32" s="5">
        <f>IF(A32=1,fast_exp_a,MOD(IF(B32="kwadraat",C33*C33,C33*fast_exp_a),$F$9))</f>
        <v>0</v>
      </c>
    </row>
    <row r="33" spans="1:3">
      <c r="A33">
        <f t="shared" si="1"/>
        <v>0</v>
      </c>
      <c r="B33" t="str">
        <f t="shared" si="0"/>
        <v>kwadraat</v>
      </c>
      <c r="C33" s="5">
        <f>IF(A33=1,fast_exp_a,MOD(IF(B33="kwadraat",C34*C34,C34*fast_exp_a),$F$9))</f>
        <v>0</v>
      </c>
    </row>
    <row r="34" spans="1:3">
      <c r="A34">
        <f t="shared" si="1"/>
        <v>0</v>
      </c>
      <c r="B34" t="str">
        <f t="shared" si="0"/>
        <v>kwadraat</v>
      </c>
      <c r="C34" s="5">
        <f>IF(A34=1,fast_exp_a,MOD(IF(B34="kwadraat",C35*C35,C35*fast_exp_a),$F$9))</f>
        <v>0</v>
      </c>
    </row>
    <row r="35" spans="1:3">
      <c r="A35">
        <f t="shared" si="1"/>
        <v>0</v>
      </c>
      <c r="B35" t="str">
        <f t="shared" si="0"/>
        <v>kwadraat</v>
      </c>
      <c r="C35" s="5">
        <f>IF(A35=1,fast_exp_a,MOD(IF(B35="kwadraat",C36*C36,C36*fast_exp_a),$F$9))</f>
        <v>0</v>
      </c>
    </row>
    <row r="36" spans="1:3">
      <c r="A36">
        <f t="shared" si="1"/>
        <v>0</v>
      </c>
      <c r="B36" t="str">
        <f t="shared" si="0"/>
        <v>kwadraat</v>
      </c>
      <c r="C36" s="5">
        <f>IF(A36=1,fast_exp_a,MOD(IF(B36="kwadraat",C37*C37,C37*fast_exp_a),$F$9))</f>
        <v>0</v>
      </c>
    </row>
    <row r="37" spans="1:3">
      <c r="A37">
        <f t="shared" si="1"/>
        <v>0</v>
      </c>
      <c r="B37" t="str">
        <f t="shared" si="0"/>
        <v>kwadraat</v>
      </c>
      <c r="C37" s="5">
        <f>IF(A37=1,fast_exp_a,MOD(IF(B37="kwadraat",C38*C38,C38*fast_exp_a),$F$9))</f>
        <v>0</v>
      </c>
    </row>
    <row r="38" spans="1:3">
      <c r="A38">
        <f t="shared" si="1"/>
        <v>0</v>
      </c>
      <c r="B38" t="str">
        <f t="shared" si="0"/>
        <v>kwadraat</v>
      </c>
      <c r="C38" s="5">
        <f>IF(A38=1,fast_exp_a,MOD(IF(B38="kwadraat",C39*C39,C39*fast_exp_a),$F$9))</f>
        <v>0</v>
      </c>
    </row>
    <row r="39" spans="1:3">
      <c r="A39">
        <f t="shared" si="1"/>
        <v>0</v>
      </c>
      <c r="B39" t="str">
        <f t="shared" si="0"/>
        <v>kwadraat</v>
      </c>
      <c r="C39" s="5">
        <f>IF(A39=1,fast_exp_a,MOD(IF(B39="kwadraat",C40*C40,C40*fast_exp_a),$F$9))</f>
        <v>0</v>
      </c>
    </row>
    <row r="40" spans="1:3">
      <c r="A40">
        <f t="shared" si="1"/>
        <v>0</v>
      </c>
      <c r="B40" t="str">
        <f t="shared" si="0"/>
        <v>kwadraat</v>
      </c>
      <c r="C40" s="5">
        <f>IF(A40=1,fast_exp_a,MOD(IF(B40="kwadraat",C41*C41,C41*fast_exp_a),$F$9))</f>
        <v>0</v>
      </c>
    </row>
    <row r="41" spans="1:3">
      <c r="A41">
        <f t="shared" si="1"/>
        <v>0</v>
      </c>
      <c r="B41" t="str">
        <f t="shared" si="0"/>
        <v>kwadraat</v>
      </c>
      <c r="C41" s="5">
        <f>IF(A41=1,fast_exp_a,MOD(IF(B41="kwadraat",C42*C42,C42*fast_exp_a),$F$9))</f>
        <v>0</v>
      </c>
    </row>
    <row r="42" spans="1:3">
      <c r="A42">
        <f t="shared" si="1"/>
        <v>0</v>
      </c>
      <c r="B42" t="str">
        <f t="shared" si="0"/>
        <v>kwadraat</v>
      </c>
      <c r="C42" s="5">
        <f>IF(A42=1,fast_exp_a,MOD(IF(B42="kwadraat",C43*C43,C43*fast_exp_a),$F$9))</f>
        <v>0</v>
      </c>
    </row>
    <row r="43" spans="1:3">
      <c r="A43">
        <f t="shared" si="1"/>
        <v>0</v>
      </c>
      <c r="B43" t="str">
        <f t="shared" si="0"/>
        <v>kwadraat</v>
      </c>
      <c r="C43" s="5">
        <f>IF(A43=1,fast_exp_a,MOD(IF(B43="kwadraat",C44*C44,C44*fast_exp_a),$F$9))</f>
        <v>0</v>
      </c>
    </row>
    <row r="44" spans="1:3">
      <c r="A44">
        <f t="shared" si="1"/>
        <v>0</v>
      </c>
      <c r="B44" t="str">
        <f t="shared" si="0"/>
        <v>kwadraat</v>
      </c>
      <c r="C44" s="5">
        <f>IF(A44=1,fast_exp_a,MOD(IF(B44="kwadraat",C45*C45,C45*fast_exp_a),$F$9))</f>
        <v>0</v>
      </c>
    </row>
    <row r="45" spans="1:3">
      <c r="A45">
        <f t="shared" si="1"/>
        <v>0</v>
      </c>
      <c r="B45" t="str">
        <f t="shared" si="0"/>
        <v>kwadraat</v>
      </c>
      <c r="C45" s="5">
        <f>IF(A45=1,fast_exp_a,MOD(IF(B45="kwadraat",C46*C46,C46*fast_exp_a),$F$9))</f>
        <v>0</v>
      </c>
    </row>
    <row r="46" spans="1:3">
      <c r="A46">
        <f t="shared" si="1"/>
        <v>0</v>
      </c>
      <c r="B46" t="str">
        <f t="shared" si="0"/>
        <v>kwadraat</v>
      </c>
      <c r="C46" s="5">
        <f>IF(A46=1,fast_exp_a,MOD(IF(B46="kwadraat",C47*C47,C47*fast_exp_a),$F$9))</f>
        <v>0</v>
      </c>
    </row>
    <row r="47" spans="1:3">
      <c r="A47">
        <f t="shared" si="1"/>
        <v>0</v>
      </c>
      <c r="B47" t="str">
        <f t="shared" si="0"/>
        <v>kwadraat</v>
      </c>
      <c r="C47" s="5">
        <f>IF(A47=1,fast_exp_a,MOD(IF(B47="kwadraat",C48*C48,C48*fast_exp_a),$F$9))</f>
        <v>0</v>
      </c>
    </row>
    <row r="48" spans="1:3">
      <c r="A48">
        <f t="shared" si="1"/>
        <v>0</v>
      </c>
      <c r="B48" t="str">
        <f t="shared" si="0"/>
        <v>kwadraat</v>
      </c>
      <c r="C48" s="5">
        <f>IF(A48=1,fast_exp_a,MOD(IF(B48="kwadraat",C49*C49,C49*fast_exp_a),$F$9))</f>
        <v>0</v>
      </c>
    </row>
    <row r="49" spans="1:3">
      <c r="A49">
        <f t="shared" si="1"/>
        <v>0</v>
      </c>
      <c r="B49" t="str">
        <f t="shared" si="0"/>
        <v>kwadraat</v>
      </c>
      <c r="C49" s="5">
        <f>IF(A49=1,fast_exp_a,MOD(IF(B49="kwadraat",C50*C50,C50*fast_exp_a),$F$9))</f>
        <v>0</v>
      </c>
    </row>
    <row r="50" spans="1:3">
      <c r="A50">
        <f t="shared" si="1"/>
        <v>0</v>
      </c>
      <c r="B50" t="str">
        <f t="shared" si="0"/>
        <v>kwadraat</v>
      </c>
      <c r="C50" s="5">
        <f>IF(A50=1,fast_exp_a,MOD(IF(B50="kwadraat",C51*C51,C51*fast_exp_a),$F$9))</f>
        <v>0</v>
      </c>
    </row>
    <row r="51" spans="1:3">
      <c r="A51">
        <f t="shared" si="1"/>
        <v>0</v>
      </c>
      <c r="B51" t="str">
        <f t="shared" si="0"/>
        <v>kwadraat</v>
      </c>
      <c r="C51" s="5">
        <f>IF(A51=1,fast_exp_a,MOD(IF(B51="kwadraat",C52*C52,C52*fast_exp_a),$F$9))</f>
        <v>0</v>
      </c>
    </row>
    <row r="52" spans="1:3">
      <c r="A52">
        <f t="shared" si="1"/>
        <v>0</v>
      </c>
      <c r="B52" t="str">
        <f t="shared" si="0"/>
        <v>kwadraat</v>
      </c>
      <c r="C52" s="5">
        <f>IF(A52=1,fast_exp_a,MOD(IF(B52="kwadraat",C53*C53,C53*fast_exp_a),$F$9))</f>
        <v>0</v>
      </c>
    </row>
    <row r="53" spans="1:3">
      <c r="A53">
        <f t="shared" si="1"/>
        <v>0</v>
      </c>
      <c r="B53" t="str">
        <f t="shared" si="0"/>
        <v>kwadraat</v>
      </c>
      <c r="C53" s="5">
        <f>IF(A53=1,fast_exp_a,MOD(IF(B53="kwadraat",C54*C54,C54*fast_exp_a),$F$9))</f>
        <v>0</v>
      </c>
    </row>
    <row r="54" spans="1:3">
      <c r="A54">
        <f t="shared" si="1"/>
        <v>0</v>
      </c>
      <c r="B54" t="str">
        <f t="shared" si="0"/>
        <v>kwadraat</v>
      </c>
      <c r="C54" s="5">
        <f>IF(A54=1,fast_exp_a,MOD(IF(B54="kwadraat",C55*C55,C55*fast_exp_a),$F$9))</f>
        <v>0</v>
      </c>
    </row>
    <row r="55" spans="1:3">
      <c r="A55">
        <f t="shared" si="1"/>
        <v>0</v>
      </c>
      <c r="B55" t="str">
        <f t="shared" si="0"/>
        <v>kwadraat</v>
      </c>
      <c r="C55" s="5">
        <f>IF(A55=1,fast_exp_a,MOD(IF(B55="kwadraat",C56*C56,C56*fast_exp_a),$F$9))</f>
        <v>0</v>
      </c>
    </row>
    <row r="56" spans="1:3">
      <c r="A56">
        <f t="shared" si="1"/>
        <v>0</v>
      </c>
      <c r="B56" t="str">
        <f t="shared" si="0"/>
        <v>kwadraat</v>
      </c>
      <c r="C56" s="5">
        <f>IF(A56=1,fast_exp_a,MOD(IF(B56="kwadraat",C57*C57,C57*fast_exp_a),$F$9))</f>
        <v>0</v>
      </c>
    </row>
    <row r="57" spans="1:3">
      <c r="A57">
        <f t="shared" si="1"/>
        <v>0</v>
      </c>
      <c r="B57" t="str">
        <f t="shared" si="0"/>
        <v>kwadraat</v>
      </c>
      <c r="C57" s="5">
        <f>IF(A57=1,fast_exp_a,MOD(IF(B57="kwadraat",C58*C58,C58*fast_exp_a),$F$9))</f>
        <v>0</v>
      </c>
    </row>
    <row r="58" spans="1:3">
      <c r="A58">
        <f t="shared" si="1"/>
        <v>0</v>
      </c>
      <c r="B58" t="str">
        <f t="shared" si="0"/>
        <v>kwadraat</v>
      </c>
      <c r="C58" s="5">
        <f>IF(A58=1,fast_exp_a,MOD(IF(B58="kwadraat",C59*C59,C59*fast_exp_a),$F$9))</f>
        <v>0</v>
      </c>
    </row>
    <row r="59" spans="1:3">
      <c r="A59">
        <f t="shared" si="1"/>
        <v>0</v>
      </c>
      <c r="B59" t="str">
        <f t="shared" si="0"/>
        <v>kwadraat</v>
      </c>
      <c r="C59" s="5">
        <f>IF(A59=1,fast_exp_a,MOD(IF(B59="kwadraat",C60*C60,C60*fast_exp_a),$F$9))</f>
        <v>0</v>
      </c>
    </row>
    <row r="60" spans="1:3">
      <c r="A60">
        <f t="shared" si="1"/>
        <v>0</v>
      </c>
      <c r="B60" t="str">
        <f t="shared" si="0"/>
        <v>kwadraat</v>
      </c>
      <c r="C60" s="5">
        <f>IF(A60=1,fast_exp_a,MOD(IF(B60="kwadraat",C61*C61,C61*fast_exp_a),$F$9))</f>
        <v>0</v>
      </c>
    </row>
    <row r="61" spans="1:3">
      <c r="A61">
        <f t="shared" si="1"/>
        <v>0</v>
      </c>
      <c r="B61" t="str">
        <f t="shared" si="0"/>
        <v>kwadraat</v>
      </c>
      <c r="C61" s="5">
        <f>IF(A61=1,fast_exp_a,MOD(IF(B61="kwadraat",C62*C62,C62*fast_exp_a),$F$9))</f>
        <v>0</v>
      </c>
    </row>
    <row r="62" spans="1:3">
      <c r="A62">
        <f t="shared" si="1"/>
        <v>0</v>
      </c>
      <c r="B62" t="str">
        <f t="shared" si="0"/>
        <v>kwadraat</v>
      </c>
      <c r="C62" s="5">
        <f>IF(A62=1,fast_exp_a,MOD(IF(B62="kwadraat",C63*C63,C63*fast_exp_a),$F$9))</f>
        <v>0</v>
      </c>
    </row>
    <row r="63" spans="1:3">
      <c r="A63">
        <f t="shared" si="1"/>
        <v>0</v>
      </c>
      <c r="B63" t="str">
        <f t="shared" si="0"/>
        <v>kwadraat</v>
      </c>
      <c r="C63" s="5">
        <f>IF(A63=1,fast_exp_a,MOD(IF(B63="kwadraat",C64*C64,C64*fast_exp_a),$F$9))</f>
        <v>0</v>
      </c>
    </row>
    <row r="64" spans="1:3">
      <c r="A64">
        <f t="shared" si="1"/>
        <v>0</v>
      </c>
      <c r="B64" t="str">
        <f t="shared" si="0"/>
        <v>kwadraat</v>
      </c>
      <c r="C64" s="5">
        <f>IF(A64=1,fast_exp_a,MOD(IF(B64="kwadraat",C65*C65,C65*fast_exp_a),$F$9))</f>
        <v>0</v>
      </c>
    </row>
    <row r="65" spans="1:3">
      <c r="A65">
        <f t="shared" si="1"/>
        <v>0</v>
      </c>
      <c r="B65" t="str">
        <f t="shared" si="0"/>
        <v>kwadraat</v>
      </c>
      <c r="C65" s="5">
        <f>IF(A65=1,fast_exp_a,MOD(IF(B65="kwadraat",C66*C66,C66*fast_exp_a),$F$9))</f>
        <v>0</v>
      </c>
    </row>
    <row r="66" spans="1:3">
      <c r="A66">
        <f t="shared" si="1"/>
        <v>0</v>
      </c>
      <c r="B66" t="str">
        <f t="shared" si="0"/>
        <v>kwadraat</v>
      </c>
      <c r="C66" s="5">
        <f>IF(A66=1,fast_exp_a,MOD(IF(B66="kwadraat",C67*C67,C67*fast_exp_a),$F$9))</f>
        <v>0</v>
      </c>
    </row>
    <row r="67" spans="1:3">
      <c r="A67">
        <f t="shared" si="1"/>
        <v>0</v>
      </c>
      <c r="B67" t="str">
        <f t="shared" si="0"/>
        <v>kwadraat</v>
      </c>
      <c r="C67" s="5">
        <f>IF(A67=1,fast_exp_a,MOD(IF(B67="kwadraat",C68*C68,C68*fast_exp_a),$F$9))</f>
        <v>0</v>
      </c>
    </row>
    <row r="68" spans="1:3">
      <c r="A68">
        <f t="shared" si="1"/>
        <v>0</v>
      </c>
      <c r="B68" t="str">
        <f t="shared" si="0"/>
        <v>kwadraat</v>
      </c>
      <c r="C68" s="5">
        <f>IF(A68=1,fast_exp_a,MOD(IF(B68="kwadraat",C69*C69,C69*fast_exp_a),$F$9))</f>
        <v>0</v>
      </c>
    </row>
    <row r="69" spans="1:3">
      <c r="A69">
        <f t="shared" si="1"/>
        <v>0</v>
      </c>
      <c r="B69" t="str">
        <f t="shared" si="0"/>
        <v>kwadraat</v>
      </c>
      <c r="C69" s="5">
        <f>IF(A69=1,fast_exp_a,MOD(IF(B69="kwadraat",C70*C70,C70*fast_exp_a),$F$9))</f>
        <v>0</v>
      </c>
    </row>
    <row r="70" spans="1:3">
      <c r="A70">
        <f t="shared" si="1"/>
        <v>0</v>
      </c>
      <c r="B70" t="str">
        <f t="shared" si="0"/>
        <v>kwadraat</v>
      </c>
      <c r="C70" s="5">
        <f>IF(A70=1,fast_exp_a,MOD(IF(B70="kwadraat",C71*C71,C71*fast_exp_a),$F$9))</f>
        <v>0</v>
      </c>
    </row>
    <row r="71" spans="1:3">
      <c r="A71">
        <f t="shared" si="1"/>
        <v>0</v>
      </c>
      <c r="B71" t="str">
        <f t="shared" si="0"/>
        <v>kwadraat</v>
      </c>
      <c r="C71" s="5">
        <f>IF(A71=1,fast_exp_a,MOD(IF(B71="kwadraat",C72*C72,C72*fast_exp_a),$F$9))</f>
        <v>0</v>
      </c>
    </row>
    <row r="72" spans="1:3">
      <c r="A72">
        <f t="shared" si="1"/>
        <v>0</v>
      </c>
      <c r="B72" t="str">
        <f t="shared" si="0"/>
        <v>kwadraat</v>
      </c>
      <c r="C72" s="5">
        <f>IF(A72=1,fast_exp_a,MOD(IF(B72="kwadraat",C73*C73,C73*fast_exp_a),$F$9))</f>
        <v>0</v>
      </c>
    </row>
    <row r="73" spans="1:3">
      <c r="A73">
        <f t="shared" si="1"/>
        <v>0</v>
      </c>
      <c r="B73" t="str">
        <f t="shared" si="0"/>
        <v>kwadraat</v>
      </c>
      <c r="C73" s="5">
        <f>IF(A73=1,fast_exp_a,MOD(IF(B73="kwadraat",C74*C74,C74*fast_exp_a),$F$9))</f>
        <v>0</v>
      </c>
    </row>
    <row r="74" spans="1:3">
      <c r="A74">
        <f t="shared" si="1"/>
        <v>0</v>
      </c>
      <c r="B74" t="str">
        <f t="shared" si="0"/>
        <v>kwadraat</v>
      </c>
      <c r="C74" s="5">
        <f>IF(A74=1,fast_exp_a,MOD(IF(B74="kwadraat",C75*C75,C75*fast_exp_a),$F$9))</f>
        <v>0</v>
      </c>
    </row>
    <row r="75" spans="1:3">
      <c r="A75">
        <f t="shared" si="1"/>
        <v>0</v>
      </c>
      <c r="B75" t="str">
        <f t="shared" si="0"/>
        <v>kwadraat</v>
      </c>
      <c r="C75" s="5">
        <f>IF(A75=1,fast_exp_a,MOD(IF(B75="kwadraat",C76*C76,C76*fast_exp_a),$F$9))</f>
        <v>0</v>
      </c>
    </row>
    <row r="76" spans="1:3">
      <c r="A76">
        <f t="shared" si="1"/>
        <v>0</v>
      </c>
      <c r="B76" t="str">
        <f t="shared" si="0"/>
        <v>kwadraat</v>
      </c>
      <c r="C76" s="5">
        <f>IF(A76=1,fast_exp_a,MOD(IF(B76="kwadraat",C77*C77,C77*fast_exp_a),$F$9))</f>
        <v>0</v>
      </c>
    </row>
    <row r="77" spans="1:3">
      <c r="A77">
        <f t="shared" si="1"/>
        <v>0</v>
      </c>
      <c r="B77" t="str">
        <f t="shared" ref="B77:B96" si="2">IF(ISEVEN(A77),"kwadraat","maal")</f>
        <v>kwadraat</v>
      </c>
      <c r="C77" s="5">
        <f>IF(A77=1,fast_exp_a,MOD(IF(B77="kwadraat",C78*C78,C78*fast_exp_a),$F$9))</f>
        <v>0</v>
      </c>
    </row>
    <row r="78" spans="1:3">
      <c r="A78">
        <f t="shared" ref="A78:A96" si="3">IF(ISEVEN(A77),A77/2,A77-1)</f>
        <v>0</v>
      </c>
      <c r="B78" t="str">
        <f t="shared" si="2"/>
        <v>kwadraat</v>
      </c>
      <c r="C78" s="5">
        <f>IF(A78=1,fast_exp_a,MOD(IF(B78="kwadraat",C79*C79,C79*fast_exp_a),$F$9))</f>
        <v>0</v>
      </c>
    </row>
    <row r="79" spans="1:3">
      <c r="A79">
        <f t="shared" si="3"/>
        <v>0</v>
      </c>
      <c r="B79" t="str">
        <f t="shared" si="2"/>
        <v>kwadraat</v>
      </c>
      <c r="C79" s="5">
        <f>IF(A79=1,fast_exp_a,MOD(IF(B79="kwadraat",C80*C80,C80*fast_exp_a),$F$9))</f>
        <v>0</v>
      </c>
    </row>
    <row r="80" spans="1:3">
      <c r="A80">
        <f t="shared" si="3"/>
        <v>0</v>
      </c>
      <c r="B80" t="str">
        <f t="shared" si="2"/>
        <v>kwadraat</v>
      </c>
      <c r="C80" s="5">
        <f>IF(A80=1,fast_exp_a,MOD(IF(B80="kwadraat",C81*C81,C81*fast_exp_a),$F$9))</f>
        <v>0</v>
      </c>
    </row>
    <row r="81" spans="1:3">
      <c r="A81">
        <f t="shared" si="3"/>
        <v>0</v>
      </c>
      <c r="B81" t="str">
        <f t="shared" si="2"/>
        <v>kwadraat</v>
      </c>
      <c r="C81" s="5">
        <f>IF(A81=1,fast_exp_a,MOD(IF(B81="kwadraat",C82*C82,C82*fast_exp_a),$F$9))</f>
        <v>0</v>
      </c>
    </row>
    <row r="82" spans="1:3">
      <c r="A82">
        <f t="shared" si="3"/>
        <v>0</v>
      </c>
      <c r="B82" t="str">
        <f t="shared" si="2"/>
        <v>kwadraat</v>
      </c>
      <c r="C82" s="5">
        <f>IF(A82=1,fast_exp_a,MOD(IF(B82="kwadraat",C83*C83,C83*fast_exp_a),$F$9))</f>
        <v>0</v>
      </c>
    </row>
    <row r="83" spans="1:3">
      <c r="A83">
        <f t="shared" si="3"/>
        <v>0</v>
      </c>
      <c r="B83" t="str">
        <f t="shared" si="2"/>
        <v>kwadraat</v>
      </c>
      <c r="C83" s="5">
        <f>IF(A83=1,fast_exp_a,MOD(IF(B83="kwadraat",C84*C84,C84*fast_exp_a),$F$9))</f>
        <v>0</v>
      </c>
    </row>
    <row r="84" spans="1:3">
      <c r="A84">
        <f t="shared" si="3"/>
        <v>0</v>
      </c>
      <c r="B84" t="str">
        <f t="shared" si="2"/>
        <v>kwadraat</v>
      </c>
      <c r="C84" s="5">
        <f>IF(A84=1,fast_exp_a,MOD(IF(B84="kwadraat",C85*C85,C85*fast_exp_a),$F$9))</f>
        <v>0</v>
      </c>
    </row>
    <row r="85" spans="1:3">
      <c r="A85">
        <f t="shared" si="3"/>
        <v>0</v>
      </c>
      <c r="B85" t="str">
        <f t="shared" si="2"/>
        <v>kwadraat</v>
      </c>
      <c r="C85" s="5">
        <f>IF(A85=1,fast_exp_a,MOD(IF(B85="kwadraat",C86*C86,C86*fast_exp_a),$F$9))</f>
        <v>0</v>
      </c>
    </row>
    <row r="86" spans="1:3">
      <c r="A86">
        <f t="shared" si="3"/>
        <v>0</v>
      </c>
      <c r="B86" t="str">
        <f t="shared" si="2"/>
        <v>kwadraat</v>
      </c>
      <c r="C86" s="5">
        <f>IF(A86=1,fast_exp_a,MOD(IF(B86="kwadraat",C87*C87,C87*fast_exp_a),$F$9))</f>
        <v>0</v>
      </c>
    </row>
    <row r="87" spans="1:3">
      <c r="A87">
        <f t="shared" si="3"/>
        <v>0</v>
      </c>
      <c r="B87" t="str">
        <f t="shared" si="2"/>
        <v>kwadraat</v>
      </c>
      <c r="C87" s="5">
        <f>IF(A87=1,fast_exp_a,MOD(IF(B87="kwadraat",C88*C88,C88*fast_exp_a),$F$9))</f>
        <v>0</v>
      </c>
    </row>
    <row r="88" spans="1:3">
      <c r="A88">
        <f t="shared" si="3"/>
        <v>0</v>
      </c>
      <c r="B88" t="str">
        <f t="shared" si="2"/>
        <v>kwadraat</v>
      </c>
      <c r="C88" s="5">
        <f>IF(A88=1,fast_exp_a,MOD(IF(B88="kwadraat",C89*C89,C89*fast_exp_a),$F$9))</f>
        <v>0</v>
      </c>
    </row>
    <row r="89" spans="1:3">
      <c r="A89">
        <f t="shared" si="3"/>
        <v>0</v>
      </c>
      <c r="B89" t="str">
        <f t="shared" si="2"/>
        <v>kwadraat</v>
      </c>
      <c r="C89" s="5">
        <f>IF(A89=1,fast_exp_a,MOD(IF(B89="kwadraat",C90*C90,C90*fast_exp_a),$F$9))</f>
        <v>0</v>
      </c>
    </row>
    <row r="90" spans="1:3">
      <c r="A90">
        <f t="shared" si="3"/>
        <v>0</v>
      </c>
      <c r="B90" t="str">
        <f t="shared" si="2"/>
        <v>kwadraat</v>
      </c>
      <c r="C90" s="5">
        <f>IF(A90=1,fast_exp_a,MOD(IF(B90="kwadraat",C91*C91,C91*fast_exp_a),$F$9))</f>
        <v>0</v>
      </c>
    </row>
    <row r="91" spans="1:3">
      <c r="A91">
        <f t="shared" si="3"/>
        <v>0</v>
      </c>
      <c r="B91" t="str">
        <f t="shared" si="2"/>
        <v>kwadraat</v>
      </c>
      <c r="C91" s="5">
        <f>IF(A91=1,fast_exp_a,MOD(IF(B91="kwadraat",C92*C92,C92*fast_exp_a),$F$9))</f>
        <v>0</v>
      </c>
    </row>
    <row r="92" spans="1:3">
      <c r="A92">
        <f t="shared" si="3"/>
        <v>0</v>
      </c>
      <c r="B92" t="str">
        <f t="shared" si="2"/>
        <v>kwadraat</v>
      </c>
      <c r="C92" s="5">
        <f>IF(A92=1,fast_exp_a,MOD(IF(B92="kwadraat",C93*C93,C93*fast_exp_a),$F$9))</f>
        <v>0</v>
      </c>
    </row>
    <row r="93" spans="1:3">
      <c r="A93">
        <f t="shared" si="3"/>
        <v>0</v>
      </c>
      <c r="B93" t="str">
        <f t="shared" si="2"/>
        <v>kwadraat</v>
      </c>
      <c r="C93" s="5">
        <f>IF(A93=1,fast_exp_a,MOD(IF(B93="kwadraat",C94*C94,C94*fast_exp_a),$F$9))</f>
        <v>0</v>
      </c>
    </row>
    <row r="94" spans="1:3">
      <c r="A94">
        <f t="shared" si="3"/>
        <v>0</v>
      </c>
      <c r="B94" t="str">
        <f t="shared" si="2"/>
        <v>kwadraat</v>
      </c>
      <c r="C94" s="5">
        <f>IF(A94=1,fast_exp_a,MOD(IF(B94="kwadraat",C95*C95,C95*fast_exp_a),$F$9))</f>
        <v>0</v>
      </c>
    </row>
    <row r="95" spans="1:3">
      <c r="A95">
        <f t="shared" si="3"/>
        <v>0</v>
      </c>
      <c r="B95" t="str">
        <f t="shared" si="2"/>
        <v>kwadraat</v>
      </c>
      <c r="C95" s="5">
        <f>IF(A95=1,fast_exp_a,MOD(IF(B95="kwadraat",C96*C96,C96*fast_exp_a),$F$9))</f>
        <v>0</v>
      </c>
    </row>
    <row r="96" spans="1:3">
      <c r="A96">
        <f t="shared" si="3"/>
        <v>0</v>
      </c>
      <c r="B96" t="str">
        <f t="shared" si="2"/>
        <v>kwadraat</v>
      </c>
      <c r="C96" s="5">
        <f>IF(A96=1,fast_exp_a,MOD(IF(B96="kwadraat",C97*C97,C97*fast_exp_a),$F$9))</f>
        <v>0</v>
      </c>
    </row>
    <row r="97" spans="3:4">
      <c r="C97" s="5"/>
      <c r="D97" s="5"/>
    </row>
    <row r="98" spans="3:4">
      <c r="C98" s="5"/>
      <c r="D98" s="5"/>
    </row>
    <row r="99" spans="3:4">
      <c r="C99" s="5"/>
      <c r="D99" s="5"/>
    </row>
    <row r="100" spans="3:4">
      <c r="C100" s="5"/>
      <c r="D100" s="5"/>
    </row>
    <row r="101" spans="3:4">
      <c r="C101" s="5"/>
      <c r="D101" s="5"/>
    </row>
    <row r="102" spans="3:4">
      <c r="C102" s="5"/>
      <c r="D102" s="5"/>
    </row>
    <row r="103" spans="3:4">
      <c r="C103" s="5"/>
      <c r="D103" s="5"/>
    </row>
    <row r="104" spans="3:4">
      <c r="C104" s="5"/>
      <c r="D104" s="5"/>
    </row>
    <row r="105" spans="3:4">
      <c r="C105" s="5"/>
      <c r="D105" s="5"/>
    </row>
    <row r="106" spans="3:4">
      <c r="C106" s="5"/>
      <c r="D106" s="5"/>
    </row>
    <row r="107" spans="3:4">
      <c r="C107" s="5"/>
      <c r="D107" s="5"/>
    </row>
    <row r="108" spans="3:4">
      <c r="C108" s="5"/>
      <c r="D108" s="5"/>
    </row>
    <row r="109" spans="3:4">
      <c r="C109" s="5"/>
      <c r="D109" s="5"/>
    </row>
    <row r="110" spans="3:4">
      <c r="C110" s="5"/>
      <c r="D110" s="5"/>
    </row>
    <row r="111" spans="3:4">
      <c r="C111" s="5"/>
      <c r="D111" s="5"/>
    </row>
    <row r="112" spans="3:4">
      <c r="C112" s="5"/>
      <c r="D112" s="5"/>
    </row>
    <row r="113" spans="3:4">
      <c r="C113" s="5"/>
      <c r="D113" s="5"/>
    </row>
    <row r="114" spans="3:4">
      <c r="C114" s="5"/>
      <c r="D114" s="5"/>
    </row>
    <row r="115" spans="3:4">
      <c r="C115" s="5"/>
      <c r="D115" s="5"/>
    </row>
    <row r="116" spans="3:4">
      <c r="C116" s="5"/>
      <c r="D116" s="5"/>
    </row>
    <row r="117" spans="3:4">
      <c r="C117" s="5"/>
      <c r="D117" s="5"/>
    </row>
    <row r="118" spans="3:4">
      <c r="C118" s="5"/>
      <c r="D118" s="5"/>
    </row>
    <row r="119" spans="3:4">
      <c r="C119" s="5"/>
      <c r="D119" s="5"/>
    </row>
    <row r="120" spans="3:4">
      <c r="C120" s="5"/>
      <c r="D120" s="5"/>
    </row>
    <row r="121" spans="3:4">
      <c r="C121" s="5"/>
      <c r="D121" s="5"/>
    </row>
    <row r="122" spans="3:4">
      <c r="C122" s="5"/>
      <c r="D122" s="5"/>
    </row>
    <row r="123" spans="3:4">
      <c r="C123" s="5"/>
      <c r="D123" s="5"/>
    </row>
    <row r="124" spans="3:4">
      <c r="C124" s="5"/>
      <c r="D124" s="5"/>
    </row>
    <row r="125" spans="3:4">
      <c r="C125" s="5"/>
      <c r="D125" s="5"/>
    </row>
    <row r="126" spans="3:4">
      <c r="C126" s="5"/>
      <c r="D126" s="5"/>
    </row>
    <row r="127" spans="3:4">
      <c r="C127" s="5"/>
      <c r="D127" s="5"/>
    </row>
    <row r="128" spans="3:4">
      <c r="C128" s="5"/>
      <c r="D128" s="5"/>
    </row>
    <row r="129" spans="3:4">
      <c r="C129" s="5"/>
      <c r="D129" s="5"/>
    </row>
    <row r="130" spans="3:4">
      <c r="C130" s="5"/>
      <c r="D130" s="5"/>
    </row>
    <row r="131" spans="3:4">
      <c r="C131" s="5"/>
      <c r="D131" s="5"/>
    </row>
    <row r="132" spans="3:4">
      <c r="C132" s="5"/>
      <c r="D132" s="5"/>
    </row>
    <row r="133" spans="3:4">
      <c r="C133" s="5"/>
      <c r="D133" s="5"/>
    </row>
    <row r="134" spans="3:4">
      <c r="C134" s="5"/>
      <c r="D134" s="5"/>
    </row>
    <row r="135" spans="3:4">
      <c r="C135" s="5"/>
      <c r="D135" s="5"/>
    </row>
    <row r="136" spans="3:4">
      <c r="C136" s="5"/>
      <c r="D136" s="5"/>
    </row>
    <row r="137" spans="3:4">
      <c r="C137" s="5"/>
      <c r="D137" s="5"/>
    </row>
    <row r="138" spans="3:4">
      <c r="C138" s="5"/>
      <c r="D138" s="5"/>
    </row>
    <row r="139" spans="3:4">
      <c r="C139" s="5"/>
      <c r="D139" s="5"/>
    </row>
    <row r="140" spans="3:4">
      <c r="C140" s="5"/>
      <c r="D140" s="5"/>
    </row>
    <row r="141" spans="3:4">
      <c r="C141" s="5"/>
      <c r="D141" s="5"/>
    </row>
    <row r="142" spans="3:4">
      <c r="C142" s="5"/>
      <c r="D142" s="5"/>
    </row>
    <row r="143" spans="3:4">
      <c r="C143" s="5"/>
      <c r="D143" s="5"/>
    </row>
    <row r="144" spans="3:4">
      <c r="C144" s="5"/>
      <c r="D144" s="5"/>
    </row>
    <row r="145" spans="3:4">
      <c r="C145" s="5"/>
      <c r="D145" s="5"/>
    </row>
    <row r="146" spans="3:4">
      <c r="C146" s="5"/>
      <c r="D146" s="5"/>
    </row>
    <row r="147" spans="3:4">
      <c r="C147" s="5"/>
      <c r="D147" s="5"/>
    </row>
    <row r="148" spans="3:4">
      <c r="C148" s="5"/>
      <c r="D148" s="5"/>
    </row>
    <row r="149" spans="3:4">
      <c r="C149" s="5"/>
      <c r="D149" s="5"/>
    </row>
    <row r="150" spans="3:4">
      <c r="C150" s="5"/>
      <c r="D150" s="5"/>
    </row>
    <row r="151" spans="3:4">
      <c r="C151" s="5"/>
      <c r="D151" s="5"/>
    </row>
    <row r="152" spans="3:4">
      <c r="C152" s="5"/>
      <c r="D152" s="5"/>
    </row>
    <row r="153" spans="3:4">
      <c r="C153" s="5"/>
      <c r="D153" s="5"/>
    </row>
    <row r="154" spans="3:4">
      <c r="C154" s="5"/>
      <c r="D154" s="5"/>
    </row>
    <row r="155" spans="3:4">
      <c r="C155" s="5"/>
      <c r="D155" s="5"/>
    </row>
    <row r="156" spans="3:4">
      <c r="C156" s="5"/>
      <c r="D156" s="5"/>
    </row>
    <row r="157" spans="3:4">
      <c r="C157" s="5"/>
      <c r="D157" s="5"/>
    </row>
    <row r="158" spans="3:4">
      <c r="C158" s="5"/>
      <c r="D158" s="5"/>
    </row>
    <row r="159" spans="3:4">
      <c r="C159" s="5"/>
      <c r="D159" s="5"/>
    </row>
    <row r="160" spans="3:4">
      <c r="C160" s="5"/>
      <c r="D160" s="5"/>
    </row>
    <row r="161" spans="3:4">
      <c r="C161" s="5"/>
      <c r="D161" s="5"/>
    </row>
    <row r="162" spans="3:4">
      <c r="C162" s="5"/>
      <c r="D162" s="5"/>
    </row>
    <row r="163" spans="3:4">
      <c r="C163" s="5"/>
      <c r="D163" s="5"/>
    </row>
    <row r="164" spans="3:4">
      <c r="C164" s="5"/>
      <c r="D164" s="5"/>
    </row>
    <row r="165" spans="3:4">
      <c r="C165" s="5"/>
      <c r="D165" s="5"/>
    </row>
    <row r="166" spans="3:4">
      <c r="C166" s="5"/>
      <c r="D166" s="5"/>
    </row>
    <row r="167" spans="3:4">
      <c r="C167" s="5"/>
      <c r="D167" s="5"/>
    </row>
    <row r="168" spans="3:4">
      <c r="C168" s="5"/>
      <c r="D168" s="5"/>
    </row>
    <row r="169" spans="3:4">
      <c r="C169" s="5"/>
      <c r="D169" s="5"/>
    </row>
    <row r="170" spans="3:4">
      <c r="C170" s="5"/>
      <c r="D170" s="5"/>
    </row>
    <row r="171" spans="3:4">
      <c r="C171" s="5"/>
      <c r="D171" s="5"/>
    </row>
    <row r="172" spans="3:4">
      <c r="C172" s="5"/>
      <c r="D172" s="5"/>
    </row>
    <row r="173" spans="3:4">
      <c r="C173" s="5"/>
      <c r="D173" s="5"/>
    </row>
    <row r="174" spans="3:4">
      <c r="C174" s="5"/>
      <c r="D174" s="5"/>
    </row>
    <row r="175" spans="3:4">
      <c r="C175" s="5"/>
      <c r="D175" s="5"/>
    </row>
    <row r="176" spans="3:4">
      <c r="C176" s="5"/>
      <c r="D176" s="5"/>
    </row>
    <row r="177" spans="3:4">
      <c r="C177" s="5"/>
      <c r="D177" s="5"/>
    </row>
    <row r="178" spans="3:4">
      <c r="C178" s="5"/>
      <c r="D178" s="5"/>
    </row>
    <row r="179" spans="3:4">
      <c r="C179" s="5"/>
      <c r="D179" s="5"/>
    </row>
    <row r="180" spans="3:4">
      <c r="C180" s="5"/>
      <c r="D180" s="5"/>
    </row>
    <row r="181" spans="3:4">
      <c r="C181" s="5"/>
      <c r="D181" s="5"/>
    </row>
    <row r="182" spans="3:4">
      <c r="C182" s="5"/>
      <c r="D182" s="5"/>
    </row>
    <row r="183" spans="3:4">
      <c r="C183" s="5"/>
      <c r="D183" s="5"/>
    </row>
    <row r="184" spans="3:4">
      <c r="C184" s="5"/>
      <c r="D184" s="5"/>
    </row>
    <row r="185" spans="3:4">
      <c r="C185" s="5"/>
      <c r="D185" s="5"/>
    </row>
    <row r="186" spans="3:4">
      <c r="C186" s="5"/>
      <c r="D186" s="5"/>
    </row>
    <row r="187" spans="3:4">
      <c r="C187" s="5"/>
      <c r="D187" s="5"/>
    </row>
    <row r="188" spans="3:4">
      <c r="C188" s="5"/>
      <c r="D188" s="5"/>
    </row>
    <row r="189" spans="3:4">
      <c r="C189" s="5"/>
      <c r="D189" s="5"/>
    </row>
    <row r="190" spans="3:4">
      <c r="C190" s="5"/>
      <c r="D190" s="5"/>
    </row>
    <row r="191" spans="3:4">
      <c r="C191" s="5"/>
      <c r="D191" s="5"/>
    </row>
    <row r="192" spans="3:4">
      <c r="C192" s="5"/>
      <c r="D192" s="5"/>
    </row>
    <row r="193" spans="3:4">
      <c r="C193" s="5"/>
      <c r="D193" s="5"/>
    </row>
    <row r="194" spans="3:4">
      <c r="C194" s="5"/>
      <c r="D194" s="5"/>
    </row>
    <row r="195" spans="3:4">
      <c r="C195" s="5"/>
      <c r="D195" s="5"/>
    </row>
    <row r="196" spans="3:4">
      <c r="C196" s="5"/>
      <c r="D196" s="5"/>
    </row>
    <row r="197" spans="3:4">
      <c r="C197" s="5"/>
      <c r="D197" s="5"/>
    </row>
    <row r="198" spans="3:4">
      <c r="C198" s="5"/>
      <c r="D198" s="5"/>
    </row>
    <row r="199" spans="3:4">
      <c r="C199" s="5"/>
      <c r="D199" s="5"/>
    </row>
    <row r="200" spans="3:4">
      <c r="C200" s="5"/>
      <c r="D200" s="5"/>
    </row>
    <row r="201" spans="3:4">
      <c r="C201" s="5"/>
      <c r="D201" s="5"/>
    </row>
    <row r="202" spans="3:4">
      <c r="C202" s="5"/>
      <c r="D202" s="5"/>
    </row>
    <row r="203" spans="3:4">
      <c r="C203" s="5"/>
      <c r="D203" s="5"/>
    </row>
    <row r="204" spans="3:4">
      <c r="C204" s="5"/>
      <c r="D204" s="5"/>
    </row>
    <row r="205" spans="3:4">
      <c r="C205" s="5"/>
      <c r="D205" s="5"/>
    </row>
    <row r="206" spans="3:4">
      <c r="C206" s="5"/>
      <c r="D206" s="5"/>
    </row>
    <row r="207" spans="3:4">
      <c r="C207" s="5"/>
      <c r="D207" s="5"/>
    </row>
    <row r="208" spans="3:4">
      <c r="C208" s="5"/>
      <c r="D208" s="5"/>
    </row>
    <row r="209" spans="3:4">
      <c r="C209" s="5"/>
      <c r="D209" s="5"/>
    </row>
    <row r="210" spans="3:4">
      <c r="C210" s="5"/>
      <c r="D210" s="5"/>
    </row>
    <row r="211" spans="3:4">
      <c r="C211" s="5"/>
      <c r="D211" s="5"/>
    </row>
    <row r="212" spans="3:4">
      <c r="C212" s="5"/>
      <c r="D212" s="5"/>
    </row>
    <row r="213" spans="3:4">
      <c r="C213" s="5"/>
      <c r="D213" s="5"/>
    </row>
    <row r="214" spans="3:4">
      <c r="C214" s="5"/>
      <c r="D214" s="5"/>
    </row>
    <row r="215" spans="3:4">
      <c r="C215" s="5"/>
      <c r="D215" s="5"/>
    </row>
    <row r="216" spans="3:4">
      <c r="C216" s="5"/>
      <c r="D216" s="5"/>
    </row>
    <row r="217" spans="3:4">
      <c r="C217" s="5"/>
      <c r="D217" s="5"/>
    </row>
    <row r="218" spans="3:4">
      <c r="C218" s="5"/>
      <c r="D218" s="5"/>
    </row>
    <row r="219" spans="3:4">
      <c r="C219" s="5"/>
      <c r="D219" s="5"/>
    </row>
    <row r="220" spans="3:4">
      <c r="C220" s="5"/>
      <c r="D220" s="5"/>
    </row>
    <row r="221" spans="3:4">
      <c r="C221" s="5"/>
      <c r="D221" s="5"/>
    </row>
    <row r="222" spans="3:4">
      <c r="C222" s="5"/>
      <c r="D222" s="5"/>
    </row>
    <row r="223" spans="3:4">
      <c r="C223" s="5"/>
      <c r="D223" s="5"/>
    </row>
    <row r="224" spans="3:4">
      <c r="C224" s="5"/>
      <c r="D224" s="5"/>
    </row>
    <row r="225" spans="3:4">
      <c r="C225" s="5"/>
      <c r="D225" s="5"/>
    </row>
    <row r="226" spans="3:4">
      <c r="C226" s="5"/>
      <c r="D226" s="5"/>
    </row>
    <row r="227" spans="3:4">
      <c r="C227" s="5"/>
      <c r="D227" s="5"/>
    </row>
    <row r="228" spans="3:4">
      <c r="C228" s="5"/>
      <c r="D228" s="5"/>
    </row>
    <row r="229" spans="3:4">
      <c r="C229" s="5"/>
      <c r="D229" s="5"/>
    </row>
    <row r="230" spans="3:4">
      <c r="C230" s="5"/>
      <c r="D230" s="5"/>
    </row>
    <row r="231" spans="3:4">
      <c r="C231" s="5"/>
      <c r="D231" s="5"/>
    </row>
    <row r="232" spans="3:4">
      <c r="C232" s="5"/>
      <c r="D232" s="5"/>
    </row>
    <row r="233" spans="3:4">
      <c r="C233" s="5"/>
      <c r="D233" s="5"/>
    </row>
    <row r="234" spans="3:4">
      <c r="C234" s="5"/>
      <c r="D234" s="5"/>
    </row>
    <row r="235" spans="3:4">
      <c r="C235" s="5"/>
      <c r="D235" s="5"/>
    </row>
    <row r="236" spans="3:4">
      <c r="C236" s="5"/>
      <c r="D236" s="5"/>
    </row>
    <row r="237" spans="3:4">
      <c r="C237" s="5"/>
      <c r="D237" s="5"/>
    </row>
    <row r="238" spans="3:4">
      <c r="C238" s="5"/>
      <c r="D238" s="5"/>
    </row>
    <row r="239" spans="3:4">
      <c r="C239" s="5"/>
      <c r="D239" s="5"/>
    </row>
    <row r="240" spans="3:4">
      <c r="C240" s="5"/>
      <c r="D240" s="5"/>
    </row>
    <row r="241" spans="3:4">
      <c r="C241" s="5"/>
      <c r="D241" s="5"/>
    </row>
    <row r="242" spans="3:4">
      <c r="C242" s="5"/>
      <c r="D242" s="5"/>
    </row>
    <row r="243" spans="3:4">
      <c r="C243" s="5"/>
      <c r="D243" s="5"/>
    </row>
    <row r="244" spans="3:4">
      <c r="C244" s="5"/>
      <c r="D244" s="5"/>
    </row>
    <row r="245" spans="3:4">
      <c r="C245" s="5"/>
      <c r="D245" s="5"/>
    </row>
    <row r="246" spans="3:4">
      <c r="C246" s="5"/>
      <c r="D246" s="5"/>
    </row>
    <row r="247" spans="3:4">
      <c r="C247" s="5"/>
      <c r="D247" s="5"/>
    </row>
    <row r="248" spans="3:4">
      <c r="C248" s="5"/>
      <c r="D248" s="5"/>
    </row>
    <row r="249" spans="3:4">
      <c r="C249" s="5"/>
      <c r="D249" s="5"/>
    </row>
    <row r="250" spans="3:4">
      <c r="C250" s="5"/>
      <c r="D250" s="5"/>
    </row>
    <row r="251" spans="3:4">
      <c r="C251" s="5"/>
      <c r="D251" s="5"/>
    </row>
    <row r="252" spans="3:4">
      <c r="C252" s="5"/>
      <c r="D252" s="5"/>
    </row>
    <row r="253" spans="3:4">
      <c r="C253" s="5"/>
      <c r="D253" s="5"/>
    </row>
    <row r="254" spans="3:4">
      <c r="C254" s="5"/>
      <c r="D254" s="5"/>
    </row>
    <row r="255" spans="3:4">
      <c r="C255" s="5"/>
      <c r="D255" s="5"/>
    </row>
    <row r="256" spans="3:4">
      <c r="C256" s="5"/>
      <c r="D256" s="5"/>
    </row>
    <row r="257" spans="3:4">
      <c r="C257" s="5"/>
      <c r="D257" s="5"/>
    </row>
    <row r="258" spans="3:4">
      <c r="C258" s="5"/>
      <c r="D258" s="5"/>
    </row>
    <row r="259" spans="3:4">
      <c r="C259" s="5"/>
      <c r="D259" s="5"/>
    </row>
    <row r="260" spans="3:4">
      <c r="C260" s="5"/>
      <c r="D260" s="5"/>
    </row>
    <row r="261" spans="3:4">
      <c r="C261" s="5"/>
      <c r="D261" s="5"/>
    </row>
    <row r="262" spans="3:4">
      <c r="C262" s="5"/>
      <c r="D262" s="5"/>
    </row>
    <row r="263" spans="3:4">
      <c r="C263" s="5"/>
      <c r="D263" s="5"/>
    </row>
    <row r="264" spans="3:4">
      <c r="C264" s="5"/>
      <c r="D264" s="5"/>
    </row>
    <row r="265" spans="3:4">
      <c r="C265" s="5"/>
      <c r="D265" s="5"/>
    </row>
    <row r="266" spans="3:4">
      <c r="C266" s="5"/>
      <c r="D266" s="5"/>
    </row>
    <row r="267" spans="3:4">
      <c r="C267" s="5"/>
      <c r="D267" s="5"/>
    </row>
    <row r="268" spans="3:4">
      <c r="C268" s="5"/>
      <c r="D268" s="5"/>
    </row>
    <row r="269" spans="3:4">
      <c r="C269" s="5"/>
      <c r="D269" s="5"/>
    </row>
    <row r="270" spans="3:4">
      <c r="C270" s="5"/>
      <c r="D270" s="5"/>
    </row>
    <row r="271" spans="3:4">
      <c r="C271" s="5"/>
      <c r="D271" s="5"/>
    </row>
    <row r="272" spans="3:4">
      <c r="C272" s="5"/>
      <c r="D272" s="5"/>
    </row>
    <row r="273" spans="3:4">
      <c r="C273" s="5"/>
      <c r="D273" s="5"/>
    </row>
    <row r="274" spans="3:4">
      <c r="C274" s="5"/>
      <c r="D274" s="5"/>
    </row>
    <row r="275" spans="3:4">
      <c r="C275" s="5"/>
      <c r="D275" s="5"/>
    </row>
    <row r="276" spans="3:4">
      <c r="C276" s="5"/>
      <c r="D276" s="5"/>
    </row>
    <row r="277" spans="3:4">
      <c r="C277" s="5"/>
      <c r="D277" s="5"/>
    </row>
    <row r="278" spans="3:4">
      <c r="C278" s="5"/>
      <c r="D278" s="5"/>
    </row>
    <row r="279" spans="3:4">
      <c r="C279" s="5"/>
      <c r="D279" s="5"/>
    </row>
    <row r="280" spans="3:4">
      <c r="C280" s="5"/>
      <c r="D280" s="5"/>
    </row>
    <row r="281" spans="3:4">
      <c r="C281" s="5"/>
      <c r="D281" s="5"/>
    </row>
    <row r="282" spans="3:4">
      <c r="C282" s="5"/>
      <c r="D282" s="5"/>
    </row>
    <row r="283" spans="3:4">
      <c r="C283" s="5"/>
      <c r="D283" s="5"/>
    </row>
    <row r="284" spans="3:4">
      <c r="C284" s="5"/>
      <c r="D284" s="5"/>
    </row>
    <row r="285" spans="3:4">
      <c r="C285" s="5"/>
      <c r="D285" s="5"/>
    </row>
    <row r="286" spans="3:4">
      <c r="C286" s="5"/>
      <c r="D286" s="5"/>
    </row>
    <row r="287" spans="3:4">
      <c r="C287" s="5"/>
      <c r="D287" s="5"/>
    </row>
    <row r="288" spans="3:4">
      <c r="C288" s="5"/>
      <c r="D288" s="5"/>
    </row>
    <row r="289" spans="3:4">
      <c r="C289" s="5"/>
      <c r="D289" s="5"/>
    </row>
    <row r="290" spans="3:4">
      <c r="C290" s="5"/>
      <c r="D290" s="5"/>
    </row>
    <row r="291" spans="3:4">
      <c r="C291" s="5"/>
      <c r="D291" s="5"/>
    </row>
    <row r="292" spans="3:4">
      <c r="C292" s="5"/>
      <c r="D292" s="5"/>
    </row>
    <row r="293" spans="3:4">
      <c r="C293" s="5"/>
      <c r="D293" s="5"/>
    </row>
    <row r="294" spans="3:4">
      <c r="C294" s="5"/>
      <c r="D294" s="5"/>
    </row>
    <row r="295" spans="3:4">
      <c r="C295" s="5"/>
      <c r="D295" s="5"/>
    </row>
    <row r="296" spans="3:4">
      <c r="C296" s="5"/>
      <c r="D296" s="5"/>
    </row>
    <row r="297" spans="3:4">
      <c r="C297" s="5"/>
      <c r="D297" s="5"/>
    </row>
    <row r="298" spans="3:4">
      <c r="C298" s="5"/>
      <c r="D298" s="5"/>
    </row>
    <row r="299" spans="3:4">
      <c r="C299" s="5"/>
      <c r="D299" s="5"/>
    </row>
    <row r="300" spans="3:4">
      <c r="C300" s="5"/>
      <c r="D300" s="5"/>
    </row>
    <row r="301" spans="3:4">
      <c r="C301" s="5"/>
      <c r="D301" s="5"/>
    </row>
    <row r="302" spans="3:4">
      <c r="C302" s="5"/>
      <c r="D302" s="5"/>
    </row>
    <row r="303" spans="3:4">
      <c r="C303" s="5"/>
      <c r="D303" s="5"/>
    </row>
    <row r="304" spans="3:4">
      <c r="C304" s="5"/>
      <c r="D304" s="5"/>
    </row>
    <row r="305" spans="3:4">
      <c r="C305" s="5"/>
      <c r="D305" s="5"/>
    </row>
    <row r="306" spans="3:4">
      <c r="C306" s="5"/>
      <c r="D306" s="5"/>
    </row>
    <row r="307" spans="3:4">
      <c r="C307" s="5"/>
      <c r="D307" s="5"/>
    </row>
    <row r="308" spans="3:4">
      <c r="C308" s="5"/>
      <c r="D308" s="5"/>
    </row>
    <row r="309" spans="3:4">
      <c r="C309" s="5"/>
      <c r="D309" s="5"/>
    </row>
    <row r="310" spans="3:4">
      <c r="C310" s="5"/>
      <c r="D310" s="5"/>
    </row>
    <row r="311" spans="3:4">
      <c r="C311" s="5"/>
      <c r="D311" s="5"/>
    </row>
    <row r="312" spans="3:4">
      <c r="C312" s="5"/>
      <c r="D312" s="5"/>
    </row>
    <row r="313" spans="3:4">
      <c r="C313" s="5"/>
      <c r="D313" s="5"/>
    </row>
    <row r="314" spans="3:4">
      <c r="C314" s="5"/>
      <c r="D314" s="5"/>
    </row>
    <row r="315" spans="3:4">
      <c r="C315" s="5"/>
      <c r="D315" s="5"/>
    </row>
    <row r="316" spans="3:4">
      <c r="C316" s="5"/>
      <c r="D316" s="5"/>
    </row>
    <row r="317" spans="3:4">
      <c r="C317" s="5"/>
      <c r="D317" s="5"/>
    </row>
    <row r="318" spans="3:4">
      <c r="C318" s="5"/>
      <c r="D318" s="5"/>
    </row>
    <row r="319" spans="3:4">
      <c r="C319" s="5"/>
      <c r="D319" s="5"/>
    </row>
    <row r="320" spans="3:4">
      <c r="C320" s="5"/>
      <c r="D320" s="5"/>
    </row>
    <row r="321" spans="3:4">
      <c r="C321" s="5"/>
      <c r="D321" s="5"/>
    </row>
    <row r="322" spans="3:4">
      <c r="C322" s="5"/>
      <c r="D322" s="5"/>
    </row>
    <row r="323" spans="3:4">
      <c r="C323" s="5"/>
      <c r="D323" s="5"/>
    </row>
    <row r="324" spans="3:4">
      <c r="C324" s="5"/>
      <c r="D324" s="5"/>
    </row>
    <row r="325" spans="3:4">
      <c r="C325" s="5"/>
      <c r="D325" s="5"/>
    </row>
    <row r="326" spans="3:4">
      <c r="C326" s="5"/>
      <c r="D326" s="5"/>
    </row>
    <row r="327" spans="3:4">
      <c r="C327" s="5"/>
      <c r="D327" s="5"/>
    </row>
    <row r="328" spans="3:4">
      <c r="C328" s="5"/>
      <c r="D328" s="5"/>
    </row>
    <row r="329" spans="3:4">
      <c r="C329" s="5"/>
      <c r="D329" s="5"/>
    </row>
    <row r="330" spans="3:4">
      <c r="C330" s="5"/>
      <c r="D330" s="5"/>
    </row>
    <row r="331" spans="3:4">
      <c r="C331" s="5"/>
      <c r="D331" s="5"/>
    </row>
    <row r="332" spans="3:4">
      <c r="C332" s="5"/>
      <c r="D332" s="5"/>
    </row>
    <row r="333" spans="3:4">
      <c r="C333" s="5"/>
      <c r="D333" s="5"/>
    </row>
    <row r="334" spans="3:4">
      <c r="C334" s="5"/>
      <c r="D334" s="5"/>
    </row>
    <row r="335" spans="3:4">
      <c r="C335" s="5"/>
      <c r="D335" s="5"/>
    </row>
    <row r="336" spans="3:4">
      <c r="C336" s="5"/>
      <c r="D336" s="5"/>
    </row>
    <row r="337" spans="3:4">
      <c r="C337" s="5"/>
      <c r="D337" s="5"/>
    </row>
    <row r="338" spans="3:4">
      <c r="C338" s="5"/>
      <c r="D338" s="5"/>
    </row>
    <row r="339" spans="3:4">
      <c r="C339" s="5"/>
      <c r="D339" s="5"/>
    </row>
    <row r="340" spans="3:4">
      <c r="C340" s="5"/>
      <c r="D340" s="5"/>
    </row>
    <row r="341" spans="3:4">
      <c r="C341" s="5"/>
      <c r="D341" s="5"/>
    </row>
    <row r="342" spans="3:4">
      <c r="C342" s="5"/>
      <c r="D342" s="5"/>
    </row>
    <row r="343" spans="3:4">
      <c r="C343" s="5"/>
      <c r="D343" s="5"/>
    </row>
    <row r="344" spans="3:4">
      <c r="C344" s="5"/>
      <c r="D344" s="5"/>
    </row>
    <row r="345" spans="3:4">
      <c r="C345" s="5"/>
      <c r="D345" s="5"/>
    </row>
    <row r="346" spans="3:4">
      <c r="C346" s="5"/>
      <c r="D346" s="5"/>
    </row>
    <row r="347" spans="3:4">
      <c r="C347" s="5"/>
      <c r="D347" s="5"/>
    </row>
    <row r="348" spans="3:4">
      <c r="C348" s="5"/>
      <c r="D348" s="5"/>
    </row>
    <row r="349" spans="3:4">
      <c r="C349" s="5"/>
      <c r="D349" s="5"/>
    </row>
    <row r="350" spans="3:4">
      <c r="C350" s="5"/>
      <c r="D350" s="5"/>
    </row>
    <row r="351" spans="3:4">
      <c r="C351" s="5"/>
      <c r="D351" s="5"/>
    </row>
    <row r="352" spans="3:4">
      <c r="C352" s="5"/>
      <c r="D352" s="5"/>
    </row>
    <row r="353" spans="3:4">
      <c r="C353" s="5"/>
      <c r="D353" s="5"/>
    </row>
    <row r="354" spans="3:4">
      <c r="C354" s="5"/>
      <c r="D354" s="5"/>
    </row>
    <row r="355" spans="3:4">
      <c r="C355" s="5"/>
      <c r="D355" s="5"/>
    </row>
    <row r="356" spans="3:4">
      <c r="C356" s="5"/>
      <c r="D356" s="5"/>
    </row>
    <row r="357" spans="3:4">
      <c r="C357" s="5"/>
      <c r="D357" s="5"/>
    </row>
    <row r="358" spans="3:4">
      <c r="C358" s="5"/>
      <c r="D358" s="5"/>
    </row>
    <row r="359" spans="3:4">
      <c r="C359" s="5"/>
      <c r="D359" s="5"/>
    </row>
    <row r="360" spans="3:4">
      <c r="C360" s="5"/>
      <c r="D360" s="5"/>
    </row>
    <row r="361" spans="3:4">
      <c r="C361" s="5"/>
      <c r="D361" s="5"/>
    </row>
    <row r="362" spans="3:4">
      <c r="C362" s="5"/>
      <c r="D362" s="5"/>
    </row>
    <row r="363" spans="3:4">
      <c r="C363" s="5"/>
      <c r="D363" s="5"/>
    </row>
    <row r="364" spans="3:4">
      <c r="C364" s="5"/>
      <c r="D364" s="5"/>
    </row>
    <row r="365" spans="3:4">
      <c r="C365" s="5"/>
      <c r="D365" s="5"/>
    </row>
    <row r="366" spans="3:4">
      <c r="C366" s="5"/>
      <c r="D366" s="5"/>
    </row>
    <row r="367" spans="3:4">
      <c r="C367" s="5"/>
      <c r="D367" s="5"/>
    </row>
    <row r="368" spans="3:4">
      <c r="C368" s="5"/>
      <c r="D368" s="5"/>
    </row>
    <row r="369" spans="3:4">
      <c r="C369" s="5"/>
      <c r="D369" s="5"/>
    </row>
    <row r="370" spans="3:4">
      <c r="C370" s="5"/>
      <c r="D370" s="5"/>
    </row>
    <row r="371" spans="3:4">
      <c r="C371" s="5"/>
      <c r="D371" s="5"/>
    </row>
    <row r="372" spans="3:4">
      <c r="C372" s="5"/>
      <c r="D372" s="5"/>
    </row>
    <row r="373" spans="3:4">
      <c r="C373" s="5"/>
      <c r="D373" s="5"/>
    </row>
    <row r="374" spans="3:4">
      <c r="C374" s="5"/>
      <c r="D374" s="5"/>
    </row>
    <row r="375" spans="3:4">
      <c r="C375" s="5"/>
      <c r="D375" s="5"/>
    </row>
    <row r="376" spans="3:4">
      <c r="C376" s="5"/>
      <c r="D376" s="5"/>
    </row>
    <row r="377" spans="3:4">
      <c r="C377" s="5"/>
      <c r="D377" s="5"/>
    </row>
    <row r="378" spans="3:4">
      <c r="C378" s="5"/>
      <c r="D378" s="5"/>
    </row>
    <row r="379" spans="3:4">
      <c r="C379" s="5"/>
      <c r="D379" s="5"/>
    </row>
    <row r="380" spans="3:4">
      <c r="C380" s="5"/>
      <c r="D380" s="5"/>
    </row>
    <row r="381" spans="3:4">
      <c r="C381" s="5"/>
      <c r="D381" s="5"/>
    </row>
    <row r="382" spans="3:4">
      <c r="C382" s="5"/>
      <c r="D382" s="5"/>
    </row>
    <row r="383" spans="3:4">
      <c r="C383" s="5"/>
      <c r="D383" s="5"/>
    </row>
    <row r="384" spans="3:4">
      <c r="C384" s="5"/>
      <c r="D384" s="5"/>
    </row>
    <row r="385" spans="3:4">
      <c r="C385" s="5"/>
      <c r="D385" s="5"/>
    </row>
    <row r="386" spans="3:4">
      <c r="C386" s="5"/>
      <c r="D386" s="5"/>
    </row>
    <row r="387" spans="3:4">
      <c r="C387" s="5"/>
      <c r="D387" s="5"/>
    </row>
    <row r="388" spans="3:4">
      <c r="C388" s="5"/>
      <c r="D388" s="5"/>
    </row>
    <row r="389" spans="3:4">
      <c r="C389" s="5"/>
      <c r="D389" s="5"/>
    </row>
    <row r="390" spans="3:4">
      <c r="C390" s="5"/>
      <c r="D390" s="5"/>
    </row>
    <row r="391" spans="3:4">
      <c r="C391" s="5"/>
      <c r="D391" s="5"/>
    </row>
    <row r="392" spans="3:4">
      <c r="C392" s="5"/>
      <c r="D392" s="5"/>
    </row>
    <row r="393" spans="3:4">
      <c r="C393" s="5"/>
      <c r="D393" s="5"/>
    </row>
    <row r="394" spans="3:4">
      <c r="C394" s="5"/>
      <c r="D394" s="5"/>
    </row>
    <row r="395" spans="3:4">
      <c r="C395" s="5"/>
      <c r="D395" s="5"/>
    </row>
    <row r="396" spans="3:4">
      <c r="C396" s="5"/>
      <c r="D396" s="5"/>
    </row>
    <row r="397" spans="3:4">
      <c r="C397" s="5"/>
      <c r="D397" s="5"/>
    </row>
    <row r="398" spans="3:4">
      <c r="C398" s="5"/>
      <c r="D398" s="5"/>
    </row>
    <row r="399" spans="3:4">
      <c r="C399" s="5"/>
      <c r="D399" s="5"/>
    </row>
    <row r="400" spans="3:4">
      <c r="C400" s="5"/>
      <c r="D400" s="5"/>
    </row>
    <row r="401" spans="3:4">
      <c r="C401" s="5"/>
      <c r="D401" s="5"/>
    </row>
    <row r="402" spans="3:4">
      <c r="C402" s="5"/>
      <c r="D402" s="5"/>
    </row>
    <row r="403" spans="3:4">
      <c r="C403" s="5"/>
      <c r="D403" s="5"/>
    </row>
    <row r="404" spans="3:4">
      <c r="C404" s="5"/>
      <c r="D404" s="5"/>
    </row>
    <row r="405" spans="3:4">
      <c r="C405" s="5"/>
      <c r="D405" s="5"/>
    </row>
    <row r="406" spans="3:4">
      <c r="C406" s="5"/>
      <c r="D406" s="5"/>
    </row>
    <row r="407" spans="3:4">
      <c r="C407" s="5"/>
      <c r="D407" s="5"/>
    </row>
    <row r="408" spans="3:4">
      <c r="C408" s="5"/>
      <c r="D408" s="5"/>
    </row>
    <row r="409" spans="3:4">
      <c r="C409" s="5"/>
      <c r="D409" s="5"/>
    </row>
    <row r="410" spans="3:4">
      <c r="C410" s="5"/>
      <c r="D410" s="5"/>
    </row>
    <row r="411" spans="3:4">
      <c r="C411" s="5"/>
      <c r="D411" s="5"/>
    </row>
    <row r="412" spans="3:4">
      <c r="C412" s="5"/>
      <c r="D412" s="5"/>
    </row>
    <row r="413" spans="3:4">
      <c r="C413" s="5"/>
      <c r="D413" s="5"/>
    </row>
    <row r="414" spans="3:4">
      <c r="C414" s="5"/>
      <c r="D414" s="5"/>
    </row>
    <row r="415" spans="3:4">
      <c r="C415" s="5"/>
      <c r="D415" s="5"/>
    </row>
    <row r="416" spans="3:4">
      <c r="C416" s="5"/>
      <c r="D416" s="5"/>
    </row>
    <row r="417" spans="3:4">
      <c r="C417" s="5"/>
      <c r="D417" s="5"/>
    </row>
    <row r="418" spans="3:4">
      <c r="C418" s="5"/>
      <c r="D418" s="5"/>
    </row>
    <row r="419" spans="3:4">
      <c r="C419" s="5"/>
      <c r="D419" s="5"/>
    </row>
    <row r="420" spans="3:4">
      <c r="C420" s="5"/>
      <c r="D420" s="5"/>
    </row>
    <row r="421" spans="3:4">
      <c r="C421" s="5"/>
      <c r="D421" s="5"/>
    </row>
    <row r="422" spans="3:4">
      <c r="C422" s="5"/>
      <c r="D422" s="5"/>
    </row>
    <row r="423" spans="3:4">
      <c r="C423" s="5"/>
      <c r="D423" s="5"/>
    </row>
    <row r="424" spans="3:4">
      <c r="C424" s="5"/>
      <c r="D424" s="5"/>
    </row>
    <row r="425" spans="3:4">
      <c r="C425" s="5"/>
      <c r="D425" s="5"/>
    </row>
    <row r="426" spans="3:4">
      <c r="C426" s="5"/>
      <c r="D426" s="5"/>
    </row>
    <row r="427" spans="3:4">
      <c r="C427" s="5"/>
      <c r="D427" s="5"/>
    </row>
    <row r="428" spans="3:4">
      <c r="C428" s="5"/>
      <c r="D428" s="5"/>
    </row>
    <row r="429" spans="3:4">
      <c r="C429" s="5"/>
      <c r="D429" s="5"/>
    </row>
    <row r="430" spans="3:4">
      <c r="C430" s="5"/>
      <c r="D430" s="5"/>
    </row>
    <row r="431" spans="3:4">
      <c r="C431" s="5"/>
      <c r="D431" s="5"/>
    </row>
    <row r="432" spans="3:4">
      <c r="C432" s="5"/>
      <c r="D432" s="5"/>
    </row>
    <row r="433" spans="3:4">
      <c r="C433" s="5"/>
      <c r="D433" s="5"/>
    </row>
    <row r="434" spans="3:4">
      <c r="C434" s="5"/>
      <c r="D434" s="5"/>
    </row>
    <row r="435" spans="3:4">
      <c r="C435" s="5"/>
      <c r="D435" s="5"/>
    </row>
    <row r="436" spans="3:4">
      <c r="C436" s="5"/>
      <c r="D436" s="5"/>
    </row>
    <row r="437" spans="3:4">
      <c r="C437" s="5"/>
      <c r="D437" s="5"/>
    </row>
    <row r="438" spans="3:4">
      <c r="C438" s="5"/>
      <c r="D438" s="5"/>
    </row>
    <row r="439" spans="3:4">
      <c r="C439" s="5"/>
      <c r="D439" s="5"/>
    </row>
    <row r="440" spans="3:4">
      <c r="C440" s="5"/>
      <c r="D440" s="5"/>
    </row>
    <row r="441" spans="3:4">
      <c r="C441" s="5"/>
      <c r="D441" s="5"/>
    </row>
    <row r="442" spans="3:4">
      <c r="C442" s="5"/>
      <c r="D442" s="5"/>
    </row>
    <row r="443" spans="3:4">
      <c r="C443" s="5"/>
      <c r="D443" s="5"/>
    </row>
    <row r="444" spans="3:4">
      <c r="C444" s="5"/>
      <c r="D444" s="5"/>
    </row>
    <row r="445" spans="3:4">
      <c r="C445" s="5"/>
      <c r="D445" s="5"/>
    </row>
    <row r="446" spans="3:4">
      <c r="C446" s="5"/>
      <c r="D446" s="5"/>
    </row>
    <row r="447" spans="3:4">
      <c r="C447" s="5"/>
      <c r="D447" s="5"/>
    </row>
    <row r="448" spans="3:4">
      <c r="C448" s="5"/>
      <c r="D448" s="5"/>
    </row>
    <row r="449" spans="3:4">
      <c r="C449" s="5"/>
      <c r="D449" s="5"/>
    </row>
    <row r="450" spans="3:4">
      <c r="C450" s="5"/>
      <c r="D450" s="5"/>
    </row>
    <row r="451" spans="3:4">
      <c r="C451" s="5"/>
      <c r="D451" s="5"/>
    </row>
    <row r="452" spans="3:4">
      <c r="C452" s="5"/>
      <c r="D452" s="5"/>
    </row>
    <row r="453" spans="3:4">
      <c r="C453" s="5"/>
      <c r="D453" s="5"/>
    </row>
    <row r="454" spans="3:4">
      <c r="C454" s="5"/>
      <c r="D454" s="5"/>
    </row>
    <row r="455" spans="3:4">
      <c r="C455" s="5"/>
      <c r="D455" s="5"/>
    </row>
    <row r="456" spans="3:4">
      <c r="C456" s="5"/>
      <c r="D456" s="5"/>
    </row>
    <row r="457" spans="3:4">
      <c r="C457" s="5"/>
      <c r="D457" s="5"/>
    </row>
    <row r="458" spans="3:4">
      <c r="C458" s="5"/>
      <c r="D458" s="5"/>
    </row>
    <row r="459" spans="3:4">
      <c r="C459" s="5"/>
      <c r="D459" s="5"/>
    </row>
    <row r="460" spans="3:4">
      <c r="C460" s="5"/>
      <c r="D460" s="5"/>
    </row>
    <row r="461" spans="3:4">
      <c r="C461" s="5"/>
      <c r="D461" s="5"/>
    </row>
    <row r="462" spans="3:4">
      <c r="C462" s="5"/>
      <c r="D462" s="5"/>
    </row>
    <row r="463" spans="3:4">
      <c r="C463" s="5"/>
      <c r="D463" s="5"/>
    </row>
    <row r="464" spans="3:4">
      <c r="C464" s="5"/>
      <c r="D464" s="5"/>
    </row>
    <row r="465" spans="3:4">
      <c r="C465" s="5"/>
      <c r="D465" s="5"/>
    </row>
    <row r="466" spans="3:4">
      <c r="C466" s="5"/>
      <c r="D466" s="5"/>
    </row>
    <row r="467" spans="3:4">
      <c r="C467" s="5"/>
      <c r="D467" s="5"/>
    </row>
    <row r="468" spans="3:4">
      <c r="C468" s="5"/>
      <c r="D468" s="5"/>
    </row>
    <row r="469" spans="3:4">
      <c r="C469" s="5"/>
      <c r="D469" s="5"/>
    </row>
    <row r="470" spans="3:4">
      <c r="C470" s="5"/>
      <c r="D470" s="5"/>
    </row>
    <row r="471" spans="3:4">
      <c r="C471" s="5"/>
      <c r="D471" s="5"/>
    </row>
    <row r="472" spans="3:4">
      <c r="C472" s="5"/>
      <c r="D472" s="5"/>
    </row>
    <row r="473" spans="3:4">
      <c r="C473" s="5"/>
      <c r="D473" s="5"/>
    </row>
    <row r="474" spans="3:4">
      <c r="C474" s="5"/>
      <c r="D474" s="5"/>
    </row>
    <row r="475" spans="3:4">
      <c r="C475" s="5"/>
      <c r="D475" s="5"/>
    </row>
    <row r="476" spans="3:4">
      <c r="C476" s="5"/>
      <c r="D476" s="5"/>
    </row>
    <row r="477" spans="3:4">
      <c r="C477" s="5"/>
      <c r="D477" s="5"/>
    </row>
    <row r="478" spans="3:4">
      <c r="C478" s="5"/>
      <c r="D478" s="5"/>
    </row>
    <row r="479" spans="3:4">
      <c r="C479" s="5"/>
      <c r="D479" s="5"/>
    </row>
    <row r="480" spans="3:4">
      <c r="C480" s="5"/>
      <c r="D480" s="5"/>
    </row>
    <row r="481" spans="3:4">
      <c r="C481" s="5"/>
      <c r="D481" s="5"/>
    </row>
    <row r="482" spans="3:4">
      <c r="C482" s="5"/>
      <c r="D482" s="5"/>
    </row>
    <row r="483" spans="3:4">
      <c r="C483" s="5"/>
      <c r="D483" s="5"/>
    </row>
    <row r="484" spans="3:4">
      <c r="C484" s="5"/>
      <c r="D484" s="5"/>
    </row>
    <row r="485" spans="3:4">
      <c r="C485" s="5"/>
      <c r="D485" s="5"/>
    </row>
    <row r="486" spans="3:4">
      <c r="C486" s="5"/>
      <c r="D486" s="5"/>
    </row>
    <row r="487" spans="3:4">
      <c r="C487" s="5"/>
      <c r="D487" s="5"/>
    </row>
    <row r="488" spans="3:4">
      <c r="C488" s="5"/>
      <c r="D488" s="5"/>
    </row>
    <row r="489" spans="3:4">
      <c r="C489" s="5"/>
      <c r="D489" s="5"/>
    </row>
    <row r="490" spans="3:4">
      <c r="C490" s="5"/>
      <c r="D490" s="5"/>
    </row>
    <row r="491" spans="3:4">
      <c r="C491" s="5"/>
      <c r="D491" s="5"/>
    </row>
    <row r="492" spans="3:4">
      <c r="C492" s="5"/>
      <c r="D492" s="5"/>
    </row>
    <row r="493" spans="3:4">
      <c r="C493" s="5"/>
      <c r="D493" s="5"/>
    </row>
    <row r="494" spans="3:4">
      <c r="C494" s="5"/>
      <c r="D494" s="5"/>
    </row>
    <row r="495" spans="3:4">
      <c r="C495" s="5"/>
      <c r="D495" s="5"/>
    </row>
    <row r="496" spans="3:4">
      <c r="C496" s="5"/>
      <c r="D496" s="5"/>
    </row>
    <row r="497" spans="3:4">
      <c r="C497" s="5"/>
      <c r="D497" s="5"/>
    </row>
    <row r="498" spans="3:4">
      <c r="C498" s="5"/>
      <c r="D498" s="5"/>
    </row>
    <row r="499" spans="3:4">
      <c r="C499" s="5"/>
      <c r="D499" s="5"/>
    </row>
    <row r="500" spans="3:4">
      <c r="C500" s="5"/>
      <c r="D500" s="5"/>
    </row>
    <row r="501" spans="3:4">
      <c r="C501" s="5"/>
      <c r="D501" s="5"/>
    </row>
    <row r="502" spans="3:4">
      <c r="C502" s="5"/>
      <c r="D502" s="5"/>
    </row>
    <row r="503" spans="3:4">
      <c r="C503" s="5"/>
      <c r="D503" s="5"/>
    </row>
    <row r="504" spans="3:4">
      <c r="C504" s="5"/>
      <c r="D504" s="5"/>
    </row>
    <row r="505" spans="3:4">
      <c r="C505" s="5"/>
      <c r="D505" s="5"/>
    </row>
    <row r="506" spans="3:4">
      <c r="C506" s="5"/>
      <c r="D506" s="5"/>
    </row>
    <row r="507" spans="3:4">
      <c r="C507" s="5"/>
      <c r="D507" s="5"/>
    </row>
    <row r="508" spans="3:4">
      <c r="C508" s="5"/>
      <c r="D508" s="5"/>
    </row>
    <row r="509" spans="3:4">
      <c r="C509" s="5"/>
      <c r="D509" s="5"/>
    </row>
    <row r="510" spans="3:4">
      <c r="C510" s="5"/>
      <c r="D510" s="5"/>
    </row>
    <row r="511" spans="3:4">
      <c r="C511" s="5"/>
      <c r="D511" s="5"/>
    </row>
    <row r="512" spans="3:4">
      <c r="C512" s="5"/>
      <c r="D512" s="5"/>
    </row>
    <row r="513" spans="3:4">
      <c r="C513" s="5"/>
      <c r="D513" s="5"/>
    </row>
    <row r="514" spans="3:4">
      <c r="C514" s="5"/>
      <c r="D514" s="5"/>
    </row>
    <row r="515" spans="3:4">
      <c r="C515" s="5"/>
      <c r="D515" s="5"/>
    </row>
    <row r="516" spans="3:4">
      <c r="C516" s="5"/>
      <c r="D516" s="5"/>
    </row>
    <row r="517" spans="3:4">
      <c r="C517" s="5"/>
      <c r="D517" s="5"/>
    </row>
    <row r="518" spans="3:4">
      <c r="C518" s="5"/>
      <c r="D518" s="5"/>
    </row>
    <row r="519" spans="3:4">
      <c r="C519" s="5"/>
      <c r="D519" s="5"/>
    </row>
    <row r="520" spans="3:4">
      <c r="C520" s="5"/>
      <c r="D520" s="5"/>
    </row>
    <row r="521" spans="3:4">
      <c r="C521" s="5"/>
      <c r="D521" s="5"/>
    </row>
    <row r="522" spans="3:4">
      <c r="C522" s="5"/>
      <c r="D522" s="5"/>
    </row>
    <row r="523" spans="3:4">
      <c r="C523" s="5"/>
      <c r="D523" s="5"/>
    </row>
    <row r="524" spans="3:4">
      <c r="C524" s="5"/>
      <c r="D524" s="5"/>
    </row>
    <row r="525" spans="3:4">
      <c r="C525" s="5"/>
      <c r="D525" s="5"/>
    </row>
    <row r="526" spans="3:4">
      <c r="C526" s="5"/>
      <c r="D526" s="5"/>
    </row>
    <row r="527" spans="3:4">
      <c r="C527" s="5"/>
      <c r="D527" s="5"/>
    </row>
    <row r="528" spans="3:4">
      <c r="C528" s="5"/>
      <c r="D528" s="5"/>
    </row>
    <row r="529" spans="3:4">
      <c r="C529" s="5"/>
      <c r="D529" s="5"/>
    </row>
    <row r="530" spans="3:4">
      <c r="C530" s="5"/>
      <c r="D530" s="5"/>
    </row>
    <row r="531" spans="3:4">
      <c r="C531" s="5"/>
      <c r="D531" s="5"/>
    </row>
    <row r="532" spans="3:4">
      <c r="C532" s="5"/>
      <c r="D532" s="5"/>
    </row>
    <row r="533" spans="3:4">
      <c r="C533" s="5"/>
      <c r="D533" s="5"/>
    </row>
    <row r="534" spans="3:4">
      <c r="C534" s="5"/>
      <c r="D534" s="5"/>
    </row>
    <row r="535" spans="3:4">
      <c r="C535" s="5"/>
      <c r="D535" s="5"/>
    </row>
    <row r="536" spans="3:4">
      <c r="C536" s="5"/>
      <c r="D536" s="5"/>
    </row>
    <row r="537" spans="3:4">
      <c r="C537" s="5"/>
      <c r="D537" s="5"/>
    </row>
    <row r="538" spans="3:4">
      <c r="C538" s="5"/>
      <c r="D538" s="5"/>
    </row>
    <row r="539" spans="3:4">
      <c r="C539" s="5"/>
      <c r="D539" s="5"/>
    </row>
    <row r="540" spans="3:4">
      <c r="C540" s="5"/>
      <c r="D540" s="5"/>
    </row>
    <row r="541" spans="3:4">
      <c r="C541" s="5"/>
      <c r="D541" s="5"/>
    </row>
    <row r="542" spans="3:4">
      <c r="C542" s="5"/>
      <c r="D542" s="5"/>
    </row>
    <row r="543" spans="3:4">
      <c r="C543" s="5"/>
      <c r="D543" s="5"/>
    </row>
    <row r="544" spans="3:4">
      <c r="C544" s="5"/>
      <c r="D544" s="5"/>
    </row>
    <row r="545" spans="3:4">
      <c r="C545" s="5"/>
      <c r="D545" s="5"/>
    </row>
    <row r="546" spans="3:4">
      <c r="C546" s="5"/>
      <c r="D546" s="5"/>
    </row>
    <row r="547" spans="3:4">
      <c r="C547" s="5"/>
      <c r="D547" s="5"/>
    </row>
    <row r="548" spans="3:4">
      <c r="C548" s="5"/>
      <c r="D548" s="5"/>
    </row>
    <row r="549" spans="3:4">
      <c r="C549" s="5"/>
      <c r="D549" s="5"/>
    </row>
    <row r="550" spans="3:4">
      <c r="C550" s="5"/>
      <c r="D550" s="5"/>
    </row>
    <row r="551" spans="3:4">
      <c r="C551" s="5"/>
      <c r="D551" s="5"/>
    </row>
    <row r="552" spans="3:4">
      <c r="C552" s="5"/>
      <c r="D552" s="5"/>
    </row>
    <row r="553" spans="3:4">
      <c r="C553" s="5"/>
      <c r="D553" s="5"/>
    </row>
    <row r="554" spans="3:4">
      <c r="C554" s="5"/>
      <c r="D554" s="5"/>
    </row>
    <row r="555" spans="3:4">
      <c r="C555" s="5"/>
      <c r="D555" s="5"/>
    </row>
    <row r="556" spans="3:4">
      <c r="C556" s="5"/>
      <c r="D556" s="5"/>
    </row>
    <row r="557" spans="3:4">
      <c r="C557" s="5"/>
      <c r="D557" s="5"/>
    </row>
    <row r="558" spans="3:4">
      <c r="C558" s="5"/>
      <c r="D558" s="5"/>
    </row>
    <row r="559" spans="3:4">
      <c r="C559" s="5"/>
      <c r="D559" s="5"/>
    </row>
    <row r="560" spans="3:4">
      <c r="C560" s="5"/>
      <c r="D560" s="5"/>
    </row>
    <row r="561" spans="3:4">
      <c r="C561" s="5"/>
      <c r="D561" s="5"/>
    </row>
    <row r="562" spans="3:4">
      <c r="C562" s="5"/>
      <c r="D562" s="5"/>
    </row>
    <row r="563" spans="3:4">
      <c r="C563" s="5"/>
      <c r="D563" s="5"/>
    </row>
    <row r="564" spans="3:4">
      <c r="C564" s="5"/>
      <c r="D564" s="5"/>
    </row>
    <row r="565" spans="3:4">
      <c r="C565" s="5"/>
      <c r="D565" s="5"/>
    </row>
    <row r="566" spans="3:4">
      <c r="C566" s="5"/>
      <c r="D566" s="5"/>
    </row>
    <row r="567" spans="3:4">
      <c r="C567" s="5"/>
      <c r="D567" s="5"/>
    </row>
    <row r="568" spans="3:4">
      <c r="C568" s="5"/>
      <c r="D568" s="5"/>
    </row>
    <row r="569" spans="3:4">
      <c r="C569" s="5"/>
      <c r="D569" s="5"/>
    </row>
    <row r="570" spans="3:4">
      <c r="C570" s="5"/>
      <c r="D570" s="5"/>
    </row>
    <row r="571" spans="3:4">
      <c r="C571" s="5"/>
      <c r="D571" s="5"/>
    </row>
    <row r="572" spans="3:4">
      <c r="C572" s="5"/>
      <c r="D572" s="5"/>
    </row>
    <row r="573" spans="3:4">
      <c r="C573" s="5"/>
      <c r="D573" s="5"/>
    </row>
    <row r="574" spans="3:4">
      <c r="C574" s="5"/>
      <c r="D574" s="5"/>
    </row>
    <row r="575" spans="3:4">
      <c r="C575" s="5"/>
      <c r="D575" s="5"/>
    </row>
    <row r="576" spans="3:4">
      <c r="C576" s="5"/>
      <c r="D576" s="5"/>
    </row>
    <row r="577" spans="3:4">
      <c r="C577" s="5"/>
      <c r="D577" s="5"/>
    </row>
    <row r="578" spans="3:4">
      <c r="C578" s="5"/>
      <c r="D578" s="5"/>
    </row>
    <row r="579" spans="3:4">
      <c r="C579" s="5"/>
      <c r="D579" s="5"/>
    </row>
    <row r="580" spans="3:4">
      <c r="C580" s="5"/>
      <c r="D580" s="5"/>
    </row>
    <row r="581" spans="3:4">
      <c r="C581" s="5"/>
      <c r="D581" s="5"/>
    </row>
    <row r="582" spans="3:4">
      <c r="C582" s="5"/>
      <c r="D582" s="5"/>
    </row>
    <row r="583" spans="3:4">
      <c r="C583" s="5"/>
      <c r="D583" s="5"/>
    </row>
    <row r="584" spans="3:4">
      <c r="C584" s="5"/>
      <c r="D584" s="5"/>
    </row>
    <row r="585" spans="3:4">
      <c r="C585" s="5"/>
      <c r="D585" s="5"/>
    </row>
    <row r="586" spans="3:4">
      <c r="C586" s="5"/>
      <c r="D586" s="5"/>
    </row>
    <row r="587" spans="3:4">
      <c r="C587" s="5"/>
      <c r="D587" s="5"/>
    </row>
    <row r="588" spans="3:4">
      <c r="C588" s="5"/>
      <c r="D588" s="5"/>
    </row>
    <row r="589" spans="3:4">
      <c r="C589" s="5"/>
      <c r="D589" s="5"/>
    </row>
    <row r="590" spans="3:4">
      <c r="C590" s="5"/>
      <c r="D590" s="5"/>
    </row>
    <row r="591" spans="3:4">
      <c r="C591" s="5"/>
      <c r="D591" s="5"/>
    </row>
    <row r="592" spans="3:4">
      <c r="C592" s="5"/>
      <c r="D592" s="5"/>
    </row>
    <row r="593" spans="3:4">
      <c r="C593" s="5"/>
      <c r="D593" s="5"/>
    </row>
    <row r="594" spans="3:4">
      <c r="C594" s="5"/>
      <c r="D594" s="5"/>
    </row>
    <row r="595" spans="3:4">
      <c r="C595" s="5"/>
      <c r="D595" s="5"/>
    </row>
    <row r="596" spans="3:4">
      <c r="C596" s="5"/>
      <c r="D596" s="5"/>
    </row>
    <row r="597" spans="3:4">
      <c r="C597" s="5"/>
      <c r="D597" s="5"/>
    </row>
    <row r="598" spans="3:4">
      <c r="C598" s="5"/>
      <c r="D598" s="5"/>
    </row>
    <row r="599" spans="3:4">
      <c r="C599" s="5"/>
      <c r="D599" s="5"/>
    </row>
    <row r="600" spans="3:4">
      <c r="C600" s="5"/>
      <c r="D600" s="5"/>
    </row>
    <row r="601" spans="3:4">
      <c r="C601" s="5"/>
      <c r="D601" s="5"/>
    </row>
    <row r="602" spans="3:4">
      <c r="C602" s="5"/>
      <c r="D602" s="5"/>
    </row>
    <row r="603" spans="3:4">
      <c r="C603" s="5"/>
      <c r="D603" s="5"/>
    </row>
    <row r="604" spans="3:4">
      <c r="C604" s="5"/>
      <c r="D604" s="5"/>
    </row>
    <row r="605" spans="3:4">
      <c r="C605" s="5"/>
      <c r="D605" s="5"/>
    </row>
    <row r="606" spans="3:4">
      <c r="C606" s="5"/>
      <c r="D606" s="5"/>
    </row>
    <row r="607" spans="3:4">
      <c r="C607" s="5"/>
      <c r="D607" s="5"/>
    </row>
    <row r="608" spans="3:4">
      <c r="C608" s="5"/>
      <c r="D608" s="5"/>
    </row>
    <row r="609" spans="3:4">
      <c r="C609" s="5"/>
      <c r="D609" s="5"/>
    </row>
    <row r="610" spans="3:4">
      <c r="C610" s="5"/>
      <c r="D610" s="5"/>
    </row>
    <row r="611" spans="3:4">
      <c r="C611" s="5"/>
      <c r="D611" s="5"/>
    </row>
    <row r="612" spans="3:4">
      <c r="C612" s="5"/>
      <c r="D612" s="5"/>
    </row>
    <row r="613" spans="3:4">
      <c r="C613" s="5"/>
      <c r="D613" s="5"/>
    </row>
    <row r="614" spans="3:4">
      <c r="C614" s="5"/>
      <c r="D614" s="5"/>
    </row>
    <row r="615" spans="3:4">
      <c r="C615" s="5"/>
      <c r="D615" s="5"/>
    </row>
    <row r="616" spans="3:4">
      <c r="C616" s="5"/>
      <c r="D616" s="5"/>
    </row>
    <row r="617" spans="3:4">
      <c r="C617" s="5"/>
      <c r="D617" s="5"/>
    </row>
    <row r="618" spans="3:4">
      <c r="C618" s="5"/>
      <c r="D618" s="5"/>
    </row>
    <row r="619" spans="3:4">
      <c r="C619" s="5"/>
      <c r="D619" s="5"/>
    </row>
    <row r="620" spans="3:4">
      <c r="C620" s="5"/>
      <c r="D620" s="5"/>
    </row>
    <row r="621" spans="3:4">
      <c r="C621" s="5"/>
      <c r="D621" s="5"/>
    </row>
    <row r="622" spans="3:4">
      <c r="C622" s="5"/>
      <c r="D622" s="5"/>
    </row>
    <row r="623" spans="3:4">
      <c r="C623" s="5"/>
      <c r="D623" s="5"/>
    </row>
    <row r="624" spans="3:4">
      <c r="C624" s="5"/>
      <c r="D624" s="5"/>
    </row>
    <row r="625" spans="3:4">
      <c r="C625" s="5"/>
      <c r="D625" s="5"/>
    </row>
    <row r="626" spans="3:4">
      <c r="C626" s="5"/>
      <c r="D626" s="5"/>
    </row>
    <row r="627" spans="3:4">
      <c r="C627" s="5"/>
      <c r="D627" s="5"/>
    </row>
    <row r="628" spans="3:4">
      <c r="C628" s="5"/>
      <c r="D628" s="5"/>
    </row>
    <row r="629" spans="3:4">
      <c r="C629" s="5"/>
      <c r="D629" s="5"/>
    </row>
    <row r="630" spans="3:4">
      <c r="C630" s="5"/>
      <c r="D630" s="5"/>
    </row>
    <row r="631" spans="3:4">
      <c r="C631" s="5"/>
      <c r="D631" s="5"/>
    </row>
    <row r="632" spans="3:4">
      <c r="C632" s="5"/>
      <c r="D632" s="5"/>
    </row>
    <row r="633" spans="3:4">
      <c r="C633" s="5"/>
      <c r="D633" s="5"/>
    </row>
    <row r="634" spans="3:4">
      <c r="C634" s="5"/>
      <c r="D634" s="5"/>
    </row>
    <row r="635" spans="3:4">
      <c r="C635" s="5"/>
      <c r="D635" s="5"/>
    </row>
    <row r="636" spans="3:4">
      <c r="C636" s="5"/>
      <c r="D636" s="5"/>
    </row>
    <row r="637" spans="3:4">
      <c r="C637" s="5"/>
      <c r="D637" s="5"/>
    </row>
    <row r="638" spans="3:4">
      <c r="C638" s="5"/>
      <c r="D638" s="5"/>
    </row>
    <row r="639" spans="3:4">
      <c r="C639" s="5"/>
      <c r="D639" s="5"/>
    </row>
    <row r="640" spans="3:4">
      <c r="C640" s="5"/>
      <c r="D640" s="5"/>
    </row>
    <row r="641" spans="3:4">
      <c r="C641" s="5"/>
      <c r="D641" s="5"/>
    </row>
    <row r="642" spans="3:4">
      <c r="C642" s="5"/>
      <c r="D642" s="5"/>
    </row>
    <row r="643" spans="3:4">
      <c r="C643" s="5"/>
      <c r="D643" s="5"/>
    </row>
    <row r="644" spans="3:4">
      <c r="C644" s="5"/>
      <c r="D644" s="5"/>
    </row>
    <row r="645" spans="3:4">
      <c r="C645" s="5"/>
      <c r="D645" s="5"/>
    </row>
    <row r="646" spans="3:4">
      <c r="C646" s="5"/>
      <c r="D646" s="5"/>
    </row>
    <row r="647" spans="3:4">
      <c r="C647" s="5"/>
      <c r="D647" s="5"/>
    </row>
    <row r="648" spans="3:4">
      <c r="C648" s="5"/>
      <c r="D648" s="5"/>
    </row>
    <row r="649" spans="3:4">
      <c r="C649" s="5"/>
      <c r="D649" s="5"/>
    </row>
    <row r="650" spans="3:4">
      <c r="C650" s="5"/>
      <c r="D650" s="5"/>
    </row>
    <row r="651" spans="3:4">
      <c r="C651" s="5"/>
      <c r="D651" s="5"/>
    </row>
    <row r="652" spans="3:4">
      <c r="C652" s="5"/>
      <c r="D652" s="5"/>
    </row>
    <row r="653" spans="3:4">
      <c r="C653" s="5"/>
      <c r="D653" s="5"/>
    </row>
    <row r="654" spans="3:4">
      <c r="C654" s="5"/>
      <c r="D654" s="5"/>
    </row>
    <row r="655" spans="3:4">
      <c r="C655" s="5"/>
      <c r="D655" s="5"/>
    </row>
    <row r="656" spans="3:4">
      <c r="C656" s="5"/>
      <c r="D656" s="5"/>
    </row>
    <row r="657" spans="3:4">
      <c r="C657" s="5"/>
      <c r="D657" s="5"/>
    </row>
    <row r="658" spans="3:4">
      <c r="C658" s="5"/>
      <c r="D658" s="5"/>
    </row>
    <row r="659" spans="3:4">
      <c r="C659" s="5"/>
      <c r="D659" s="5"/>
    </row>
    <row r="660" spans="3:4">
      <c r="C660" s="5"/>
      <c r="D660" s="5"/>
    </row>
    <row r="661" spans="3:4">
      <c r="C661" s="5"/>
      <c r="D661" s="5"/>
    </row>
    <row r="662" spans="3:4">
      <c r="C662" s="5"/>
      <c r="D662" s="5"/>
    </row>
    <row r="663" spans="3:4">
      <c r="C663" s="5"/>
      <c r="D663" s="5"/>
    </row>
    <row r="664" spans="3:4">
      <c r="C664" s="5"/>
      <c r="D664" s="5"/>
    </row>
    <row r="665" spans="3:4">
      <c r="C665" s="5"/>
      <c r="D665" s="5"/>
    </row>
    <row r="666" spans="3:4">
      <c r="C666" s="5"/>
      <c r="D666" s="5"/>
    </row>
    <row r="667" spans="3:4">
      <c r="C667" s="5"/>
      <c r="D667" s="5"/>
    </row>
    <row r="668" spans="3:4">
      <c r="C668" s="5"/>
      <c r="D668" s="5"/>
    </row>
    <row r="669" spans="3:4">
      <c r="C669" s="5"/>
      <c r="D669" s="5"/>
    </row>
    <row r="670" spans="3:4">
      <c r="C670" s="5"/>
      <c r="D670" s="5"/>
    </row>
    <row r="671" spans="3:4">
      <c r="C671" s="5"/>
      <c r="D671" s="5"/>
    </row>
    <row r="672" spans="3:4">
      <c r="C672" s="5"/>
      <c r="D672" s="5"/>
    </row>
    <row r="673" spans="3:4">
      <c r="C673" s="5"/>
      <c r="D673" s="5"/>
    </row>
    <row r="674" spans="3:4">
      <c r="C674" s="5"/>
      <c r="D674" s="5"/>
    </row>
    <row r="675" spans="3:4">
      <c r="C675" s="5"/>
      <c r="D675" s="5"/>
    </row>
    <row r="676" spans="3:4">
      <c r="C676" s="5"/>
      <c r="D676" s="5"/>
    </row>
    <row r="677" spans="3:4">
      <c r="C677" s="5"/>
      <c r="D677" s="5"/>
    </row>
    <row r="678" spans="3:4">
      <c r="C678" s="5"/>
      <c r="D678" s="5"/>
    </row>
    <row r="679" spans="3:4">
      <c r="C679" s="5"/>
      <c r="D679" s="5"/>
    </row>
    <row r="680" spans="3:4">
      <c r="C680" s="5"/>
      <c r="D680" s="5"/>
    </row>
    <row r="681" spans="3:4">
      <c r="C681" s="5"/>
      <c r="D681" s="5"/>
    </row>
    <row r="682" spans="3:4">
      <c r="C682" s="5"/>
      <c r="D682" s="5"/>
    </row>
    <row r="683" spans="3:4">
      <c r="C683" s="5"/>
      <c r="D683" s="5"/>
    </row>
    <row r="684" spans="3:4">
      <c r="C684" s="5"/>
      <c r="D684" s="5"/>
    </row>
    <row r="685" spans="3:4">
      <c r="C685" s="5"/>
      <c r="D685" s="5"/>
    </row>
    <row r="686" spans="3:4">
      <c r="C686" s="5"/>
      <c r="D686" s="5"/>
    </row>
    <row r="687" spans="3:4">
      <c r="C687" s="5"/>
      <c r="D687" s="5"/>
    </row>
    <row r="688" spans="3:4">
      <c r="C688" s="5"/>
      <c r="D688" s="5"/>
    </row>
    <row r="689" spans="3:4">
      <c r="C689" s="5"/>
      <c r="D689" s="5"/>
    </row>
    <row r="690" spans="3:4">
      <c r="C690" s="5"/>
      <c r="D690" s="5"/>
    </row>
    <row r="691" spans="3:4">
      <c r="C691" s="5"/>
      <c r="D691" s="5"/>
    </row>
    <row r="692" spans="3:4">
      <c r="C692" s="5"/>
      <c r="D692" s="5"/>
    </row>
    <row r="693" spans="3:4">
      <c r="C693" s="5"/>
      <c r="D693" s="5"/>
    </row>
    <row r="694" spans="3:4">
      <c r="C694" s="5"/>
      <c r="D694" s="5"/>
    </row>
    <row r="695" spans="3:4">
      <c r="C695" s="5"/>
      <c r="D695" s="5"/>
    </row>
    <row r="696" spans="3:4">
      <c r="C696" s="5"/>
      <c r="D696" s="5"/>
    </row>
    <row r="697" spans="3:4">
      <c r="C697" s="5"/>
      <c r="D697" s="5"/>
    </row>
    <row r="698" spans="3:4">
      <c r="C698" s="5"/>
      <c r="D698" s="5"/>
    </row>
    <row r="699" spans="3:4">
      <c r="C699" s="5"/>
      <c r="D699" s="5"/>
    </row>
    <row r="700" spans="3:4">
      <c r="C700" s="5"/>
      <c r="D700" s="5"/>
    </row>
    <row r="701" spans="3:4">
      <c r="C701" s="5"/>
      <c r="D701" s="5"/>
    </row>
    <row r="702" spans="3:4">
      <c r="C702" s="5"/>
      <c r="D702" s="5"/>
    </row>
    <row r="703" spans="3:4">
      <c r="C703" s="5"/>
      <c r="D703" s="5"/>
    </row>
    <row r="704" spans="3:4">
      <c r="C704" s="5"/>
      <c r="D704" s="5"/>
    </row>
    <row r="705" spans="3:4">
      <c r="C705" s="5"/>
      <c r="D705" s="5"/>
    </row>
    <row r="706" spans="3:4">
      <c r="C706" s="5"/>
      <c r="D706" s="5"/>
    </row>
    <row r="707" spans="3:4">
      <c r="C707" s="5"/>
      <c r="D707" s="5"/>
    </row>
    <row r="708" spans="3:4">
      <c r="C708" s="5"/>
      <c r="D708" s="5"/>
    </row>
    <row r="709" spans="3:4">
      <c r="C709" s="5"/>
      <c r="D709" s="5"/>
    </row>
    <row r="710" spans="3:4">
      <c r="C710" s="5"/>
      <c r="D710" s="5"/>
    </row>
    <row r="711" spans="3:4">
      <c r="C711" s="5"/>
      <c r="D711" s="5"/>
    </row>
    <row r="712" spans="3:4">
      <c r="C712" s="5"/>
      <c r="D712" s="5"/>
    </row>
    <row r="713" spans="3:4">
      <c r="C713" s="5"/>
      <c r="D713" s="5"/>
    </row>
    <row r="714" spans="3:4">
      <c r="C714" s="5"/>
      <c r="D714" s="5"/>
    </row>
    <row r="715" spans="3:4">
      <c r="C715" s="5"/>
      <c r="D715" s="5"/>
    </row>
    <row r="716" spans="3:4">
      <c r="C716" s="5"/>
      <c r="D716" s="5"/>
    </row>
    <row r="717" spans="3:4">
      <c r="C717" s="5"/>
      <c r="D717" s="5"/>
    </row>
    <row r="718" spans="3:4">
      <c r="C718" s="5"/>
      <c r="D718" s="5"/>
    </row>
    <row r="719" spans="3:4">
      <c r="C719" s="5"/>
      <c r="D719" s="5"/>
    </row>
    <row r="720" spans="3:4">
      <c r="C720" s="5"/>
      <c r="D720" s="5"/>
    </row>
    <row r="721" spans="3:4">
      <c r="C721" s="5"/>
      <c r="D721" s="5"/>
    </row>
    <row r="722" spans="3:4">
      <c r="C722" s="5"/>
      <c r="D722" s="5"/>
    </row>
    <row r="723" spans="3:4">
      <c r="C723" s="5"/>
      <c r="D723" s="5"/>
    </row>
    <row r="724" spans="3:4">
      <c r="C724" s="5"/>
      <c r="D724" s="5"/>
    </row>
    <row r="725" spans="3:4">
      <c r="C725" s="5"/>
      <c r="D725" s="5"/>
    </row>
    <row r="726" spans="3:4">
      <c r="C726" s="5"/>
      <c r="D726" s="5"/>
    </row>
    <row r="727" spans="3:4">
      <c r="C727" s="5"/>
      <c r="D727" s="5"/>
    </row>
    <row r="728" spans="3:4">
      <c r="C728" s="5"/>
      <c r="D728" s="5"/>
    </row>
    <row r="729" spans="3:4">
      <c r="C729" s="5"/>
      <c r="D729" s="5"/>
    </row>
    <row r="730" spans="3:4">
      <c r="C730" s="5"/>
      <c r="D730" s="5"/>
    </row>
    <row r="731" spans="3:4">
      <c r="C731" s="5"/>
      <c r="D731" s="5"/>
    </row>
    <row r="732" spans="3:4">
      <c r="C732" s="5"/>
      <c r="D732" s="5"/>
    </row>
    <row r="733" spans="3:4">
      <c r="C733" s="5"/>
      <c r="D733" s="5"/>
    </row>
    <row r="734" spans="3:4">
      <c r="C734" s="5"/>
      <c r="D734" s="5"/>
    </row>
    <row r="735" spans="3:4">
      <c r="C735" s="5"/>
      <c r="D735" s="5"/>
    </row>
    <row r="736" spans="3:4">
      <c r="C736" s="5"/>
      <c r="D736" s="5"/>
    </row>
    <row r="737" spans="3:4">
      <c r="C737" s="5"/>
      <c r="D737" s="5"/>
    </row>
    <row r="738" spans="3:4">
      <c r="C738" s="5"/>
      <c r="D738" s="5"/>
    </row>
    <row r="739" spans="3:4">
      <c r="C739" s="5"/>
      <c r="D739" s="5"/>
    </row>
    <row r="740" spans="3:4">
      <c r="C740" s="5"/>
      <c r="D740" s="5"/>
    </row>
    <row r="741" spans="3:4">
      <c r="C741" s="5"/>
      <c r="D741" s="5"/>
    </row>
    <row r="742" spans="3:4">
      <c r="C742" s="5"/>
      <c r="D742" s="5"/>
    </row>
    <row r="743" spans="3:4">
      <c r="C743" s="5"/>
      <c r="D743" s="5"/>
    </row>
    <row r="744" spans="3:4">
      <c r="C744" s="5"/>
      <c r="D744" s="5"/>
    </row>
    <row r="745" spans="3:4">
      <c r="C745" s="5"/>
      <c r="D745" s="5"/>
    </row>
    <row r="746" spans="3:4">
      <c r="C746" s="5"/>
      <c r="D746" s="5"/>
    </row>
    <row r="747" spans="3:4">
      <c r="C747" s="5"/>
      <c r="D747" s="5"/>
    </row>
    <row r="748" spans="3:4">
      <c r="C748" s="5"/>
      <c r="D748" s="5"/>
    </row>
    <row r="749" spans="3:4">
      <c r="C749" s="5"/>
      <c r="D749" s="5"/>
    </row>
    <row r="750" spans="3:4">
      <c r="C750" s="5"/>
      <c r="D750" s="5"/>
    </row>
    <row r="751" spans="3:4">
      <c r="C751" s="5"/>
      <c r="D751" s="5"/>
    </row>
    <row r="752" spans="3:4">
      <c r="C752" s="5"/>
      <c r="D752" s="5"/>
    </row>
    <row r="753" spans="3:4">
      <c r="C753" s="5"/>
      <c r="D753" s="5"/>
    </row>
    <row r="754" spans="3:4">
      <c r="C754" s="5"/>
      <c r="D754" s="5"/>
    </row>
    <row r="755" spans="3:4">
      <c r="C755" s="5"/>
      <c r="D755" s="5"/>
    </row>
    <row r="756" spans="3:4">
      <c r="C756" s="5"/>
      <c r="D756" s="5"/>
    </row>
    <row r="757" spans="3:4">
      <c r="C757" s="5"/>
      <c r="D757" s="5"/>
    </row>
    <row r="758" spans="3:4">
      <c r="C758" s="5"/>
      <c r="D758" s="5"/>
    </row>
    <row r="759" spans="3:4">
      <c r="C759" s="5"/>
      <c r="D759" s="5"/>
    </row>
    <row r="760" spans="3:4">
      <c r="C760" s="5"/>
      <c r="D760" s="5"/>
    </row>
    <row r="761" spans="3:4">
      <c r="C761" s="5"/>
      <c r="D761" s="5"/>
    </row>
    <row r="762" spans="3:4">
      <c r="C762" s="5"/>
      <c r="D762" s="5"/>
    </row>
    <row r="763" spans="3:4">
      <c r="C763" s="5"/>
      <c r="D763" s="5"/>
    </row>
    <row r="764" spans="3:4">
      <c r="C764" s="5"/>
      <c r="D764" s="5"/>
    </row>
    <row r="765" spans="3:4">
      <c r="C765" s="5"/>
      <c r="D765" s="5"/>
    </row>
    <row r="766" spans="3:4">
      <c r="C766" s="5"/>
      <c r="D766" s="5"/>
    </row>
    <row r="767" spans="3:4">
      <c r="C767" s="5"/>
      <c r="D767" s="5"/>
    </row>
    <row r="768" spans="3:4">
      <c r="C768" s="5"/>
      <c r="D768" s="5"/>
    </row>
    <row r="769" spans="3:4">
      <c r="C769" s="5"/>
      <c r="D769" s="5"/>
    </row>
    <row r="770" spans="3:4">
      <c r="C770" s="5"/>
      <c r="D770" s="5"/>
    </row>
    <row r="771" spans="3:4">
      <c r="C771" s="5"/>
      <c r="D771" s="5"/>
    </row>
    <row r="772" spans="3:4">
      <c r="C772" s="5"/>
      <c r="D772" s="5"/>
    </row>
    <row r="773" spans="3:4">
      <c r="C773" s="5"/>
      <c r="D773" s="5"/>
    </row>
    <row r="774" spans="3:4">
      <c r="C774" s="5"/>
      <c r="D774" s="5"/>
    </row>
    <row r="775" spans="3:4">
      <c r="C775" s="5"/>
      <c r="D775" s="5"/>
    </row>
    <row r="776" spans="3:4">
      <c r="C776" s="5"/>
      <c r="D776" s="5"/>
    </row>
    <row r="777" spans="3:4">
      <c r="C777" s="5"/>
      <c r="D777" s="5"/>
    </row>
    <row r="778" spans="3:4">
      <c r="C778" s="5"/>
      <c r="D778" s="5"/>
    </row>
    <row r="779" spans="3:4">
      <c r="C779" s="5"/>
      <c r="D779" s="5"/>
    </row>
    <row r="780" spans="3:4">
      <c r="C780" s="5"/>
      <c r="D780" s="5"/>
    </row>
    <row r="781" spans="3:4">
      <c r="C781" s="5"/>
      <c r="D781" s="5"/>
    </row>
    <row r="782" spans="3:4">
      <c r="C782" s="5"/>
      <c r="D782" s="5"/>
    </row>
    <row r="783" spans="3:4">
      <c r="C783" s="5"/>
      <c r="D783" s="5"/>
    </row>
    <row r="784" spans="3:4">
      <c r="C784" s="5"/>
      <c r="D784" s="5"/>
    </row>
    <row r="785" spans="3:4">
      <c r="C785" s="5"/>
      <c r="D785" s="5"/>
    </row>
    <row r="786" spans="3:4">
      <c r="C786" s="5"/>
      <c r="D786" s="5"/>
    </row>
    <row r="787" spans="3:4">
      <c r="C787" s="5"/>
      <c r="D787" s="5"/>
    </row>
    <row r="788" spans="3:4">
      <c r="C788" s="5"/>
      <c r="D788" s="5"/>
    </row>
    <row r="789" spans="3:4">
      <c r="C789" s="5"/>
      <c r="D789" s="5"/>
    </row>
    <row r="790" spans="3:4">
      <c r="C790" s="5"/>
      <c r="D790" s="5"/>
    </row>
    <row r="791" spans="3:4">
      <c r="C791" s="5"/>
      <c r="D791" s="5"/>
    </row>
    <row r="792" spans="3:4">
      <c r="C792" s="5"/>
      <c r="D792" s="5"/>
    </row>
    <row r="793" spans="3:4">
      <c r="C793" s="5"/>
      <c r="D793" s="5"/>
    </row>
    <row r="794" spans="3:4">
      <c r="C794" s="5"/>
      <c r="D794" s="5"/>
    </row>
    <row r="795" spans="3:4">
      <c r="C795" s="5"/>
      <c r="D795" s="5"/>
    </row>
    <row r="796" spans="3:4">
      <c r="C796" s="5"/>
      <c r="D796" s="5"/>
    </row>
    <row r="797" spans="3:4">
      <c r="C797" s="5"/>
      <c r="D797" s="5"/>
    </row>
    <row r="798" spans="3:4">
      <c r="C798" s="5"/>
      <c r="D798" s="5"/>
    </row>
    <row r="799" spans="3:4">
      <c r="C799" s="5"/>
      <c r="D799" s="5"/>
    </row>
    <row r="800" spans="3:4">
      <c r="C800" s="5"/>
      <c r="D800" s="5"/>
    </row>
    <row r="801" spans="3:4">
      <c r="C801" s="5"/>
      <c r="D801" s="5"/>
    </row>
    <row r="802" spans="3:4">
      <c r="C802" s="5"/>
      <c r="D802" s="5"/>
    </row>
    <row r="803" spans="3:4">
      <c r="C803" s="5"/>
      <c r="D803" s="5"/>
    </row>
    <row r="804" spans="3:4">
      <c r="C804" s="5"/>
      <c r="D804" s="5"/>
    </row>
    <row r="805" spans="3:4">
      <c r="C805" s="5"/>
      <c r="D805" s="5"/>
    </row>
    <row r="806" spans="3:4">
      <c r="C806" s="5"/>
      <c r="D806" s="5"/>
    </row>
    <row r="807" spans="3:4">
      <c r="C807" s="5"/>
      <c r="D807" s="5"/>
    </row>
    <row r="808" spans="3:4">
      <c r="C808" s="5"/>
      <c r="D808" s="5"/>
    </row>
    <row r="809" spans="3:4">
      <c r="C809" s="5"/>
      <c r="D809" s="5"/>
    </row>
    <row r="810" spans="3:4">
      <c r="C810" s="5"/>
      <c r="D810" s="5"/>
    </row>
    <row r="811" spans="3:4">
      <c r="C811" s="5"/>
      <c r="D811" s="5"/>
    </row>
    <row r="812" spans="3:4">
      <c r="C812" s="5"/>
      <c r="D812" s="5"/>
    </row>
    <row r="813" spans="3:4">
      <c r="C813" s="5"/>
      <c r="D813" s="5"/>
    </row>
    <row r="814" spans="3:4">
      <c r="C814" s="5"/>
      <c r="D814" s="5"/>
    </row>
    <row r="815" spans="3:4">
      <c r="C815" s="5"/>
      <c r="D815" s="5"/>
    </row>
    <row r="816" spans="3:4">
      <c r="C816" s="5"/>
      <c r="D816" s="5"/>
    </row>
    <row r="817" spans="3:4">
      <c r="C817" s="5"/>
      <c r="D817" s="5"/>
    </row>
    <row r="818" spans="3:4">
      <c r="C818" s="5"/>
      <c r="D818" s="5"/>
    </row>
    <row r="819" spans="3:4">
      <c r="C819" s="5"/>
      <c r="D819" s="5"/>
    </row>
    <row r="820" spans="3:4">
      <c r="C820" s="5"/>
      <c r="D820" s="5"/>
    </row>
    <row r="821" spans="3:4">
      <c r="C821" s="5"/>
      <c r="D821" s="5"/>
    </row>
    <row r="822" spans="3:4">
      <c r="C822" s="5"/>
      <c r="D822" s="5"/>
    </row>
    <row r="823" spans="3:4">
      <c r="C823" s="5"/>
      <c r="D823" s="5"/>
    </row>
    <row r="824" spans="3:4">
      <c r="C824" s="5"/>
      <c r="D824" s="5"/>
    </row>
    <row r="825" spans="3:4">
      <c r="C825" s="5"/>
      <c r="D825" s="5"/>
    </row>
    <row r="826" spans="3:4">
      <c r="C826" s="5"/>
      <c r="D826" s="5"/>
    </row>
    <row r="827" spans="3:4">
      <c r="C827" s="5"/>
      <c r="D827" s="5"/>
    </row>
    <row r="828" spans="3:4">
      <c r="C828" s="5"/>
      <c r="D828" s="5"/>
    </row>
    <row r="829" spans="3:4">
      <c r="C829" s="5"/>
      <c r="D829" s="5"/>
    </row>
    <row r="830" spans="3:4">
      <c r="C830" s="5"/>
      <c r="D830" s="5"/>
    </row>
    <row r="831" spans="3:4">
      <c r="C831" s="5"/>
      <c r="D831" s="5"/>
    </row>
    <row r="832" spans="3:4">
      <c r="C832" s="5"/>
      <c r="D832" s="5"/>
    </row>
    <row r="833" spans="3:4">
      <c r="C833" s="5"/>
      <c r="D833" s="5"/>
    </row>
    <row r="834" spans="3:4">
      <c r="C834" s="5"/>
      <c r="D834" s="5"/>
    </row>
    <row r="835" spans="3:4">
      <c r="C835" s="5"/>
      <c r="D835" s="5"/>
    </row>
    <row r="836" spans="3:4">
      <c r="C836" s="5"/>
      <c r="D836" s="5"/>
    </row>
    <row r="837" spans="3:4">
      <c r="C837" s="5"/>
      <c r="D837" s="5"/>
    </row>
    <row r="838" spans="3:4">
      <c r="C838" s="5"/>
      <c r="D838" s="5"/>
    </row>
    <row r="839" spans="3:4">
      <c r="C839" s="5"/>
      <c r="D839" s="5"/>
    </row>
    <row r="840" spans="3:4">
      <c r="C840" s="5"/>
      <c r="D840" s="5"/>
    </row>
    <row r="841" spans="3:4">
      <c r="C841" s="5"/>
      <c r="D841" s="5"/>
    </row>
    <row r="842" spans="3:4">
      <c r="C842" s="5"/>
      <c r="D842" s="5"/>
    </row>
    <row r="843" spans="3:4">
      <c r="C843" s="5"/>
      <c r="D843" s="5"/>
    </row>
    <row r="844" spans="3:4">
      <c r="C844" s="5"/>
      <c r="D844" s="5"/>
    </row>
    <row r="845" spans="3:4">
      <c r="C845" s="5"/>
      <c r="D845" s="5"/>
    </row>
    <row r="846" spans="3:4">
      <c r="C846" s="5"/>
      <c r="D846" s="5"/>
    </row>
    <row r="847" spans="3:4">
      <c r="C847" s="5"/>
      <c r="D847" s="5"/>
    </row>
    <row r="848" spans="3:4">
      <c r="C848" s="5"/>
      <c r="D848" s="5"/>
    </row>
    <row r="849" spans="3:4">
      <c r="C849" s="5"/>
      <c r="D849" s="5"/>
    </row>
    <row r="850" spans="3:4">
      <c r="C850" s="5"/>
      <c r="D850" s="5"/>
    </row>
    <row r="851" spans="3:4">
      <c r="C851" s="5"/>
      <c r="D851" s="5"/>
    </row>
    <row r="852" spans="3:4">
      <c r="C852" s="5"/>
      <c r="D852" s="5"/>
    </row>
    <row r="853" spans="3:4">
      <c r="C853" s="5"/>
      <c r="D853" s="5"/>
    </row>
    <row r="854" spans="3:4">
      <c r="C854" s="5"/>
      <c r="D854" s="5"/>
    </row>
    <row r="855" spans="3:4">
      <c r="C855" s="5"/>
      <c r="D855" s="5"/>
    </row>
    <row r="856" spans="3:4">
      <c r="C856" s="5"/>
      <c r="D856" s="5"/>
    </row>
    <row r="857" spans="3:4">
      <c r="C857" s="5"/>
      <c r="D857" s="5"/>
    </row>
    <row r="858" spans="3:4">
      <c r="C858" s="5"/>
      <c r="D858" s="5"/>
    </row>
    <row r="859" spans="3:4">
      <c r="C859" s="5"/>
      <c r="D859" s="5"/>
    </row>
    <row r="860" spans="3:4">
      <c r="C860" s="5"/>
      <c r="D860" s="5"/>
    </row>
    <row r="861" spans="3:4">
      <c r="C861" s="5"/>
      <c r="D861" s="5"/>
    </row>
    <row r="862" spans="3:4">
      <c r="C862" s="5"/>
      <c r="D862" s="5"/>
    </row>
    <row r="863" spans="3:4">
      <c r="C863" s="5"/>
      <c r="D863" s="5"/>
    </row>
    <row r="864" spans="3:4">
      <c r="C864" s="5"/>
      <c r="D864" s="5"/>
    </row>
    <row r="865" spans="3:4">
      <c r="C865" s="5"/>
      <c r="D865" s="5"/>
    </row>
    <row r="866" spans="3:4">
      <c r="C866" s="5"/>
      <c r="D866" s="5"/>
    </row>
    <row r="867" spans="3:4">
      <c r="C867" s="5"/>
      <c r="D867" s="5"/>
    </row>
    <row r="868" spans="3:4">
      <c r="C868" s="5"/>
      <c r="D868" s="5"/>
    </row>
    <row r="869" spans="3:4">
      <c r="C869" s="5"/>
      <c r="D869" s="5"/>
    </row>
    <row r="870" spans="3:4">
      <c r="C870" s="5"/>
      <c r="D870" s="5"/>
    </row>
    <row r="871" spans="3:4">
      <c r="C871" s="5"/>
      <c r="D871" s="5"/>
    </row>
    <row r="872" spans="3:4">
      <c r="C872" s="5"/>
      <c r="D872" s="5"/>
    </row>
    <row r="873" spans="3:4">
      <c r="C873" s="5"/>
      <c r="D873" s="5"/>
    </row>
    <row r="874" spans="3:4">
      <c r="C874" s="5"/>
      <c r="D874" s="5"/>
    </row>
    <row r="875" spans="3:4">
      <c r="C875" s="5"/>
      <c r="D875" s="5"/>
    </row>
    <row r="876" spans="3:4">
      <c r="C876" s="5"/>
      <c r="D876" s="5"/>
    </row>
    <row r="877" spans="3:4">
      <c r="C877" s="5"/>
      <c r="D877" s="5"/>
    </row>
    <row r="878" spans="3:4">
      <c r="C878" s="5"/>
      <c r="D878" s="5"/>
    </row>
    <row r="879" spans="3:4">
      <c r="C879" s="5"/>
      <c r="D879" s="5"/>
    </row>
    <row r="880" spans="3:4">
      <c r="C880" s="5"/>
      <c r="D880" s="5"/>
    </row>
    <row r="881" spans="3:4">
      <c r="C881" s="5"/>
      <c r="D881" s="5"/>
    </row>
    <row r="882" spans="3:4">
      <c r="C882" s="5"/>
      <c r="D882" s="5"/>
    </row>
    <row r="883" spans="3:4">
      <c r="C883" s="5"/>
      <c r="D883" s="5"/>
    </row>
    <row r="884" spans="3:4">
      <c r="C884" s="5"/>
      <c r="D884" s="5"/>
    </row>
    <row r="885" spans="3:4">
      <c r="C885" s="5"/>
      <c r="D885" s="5"/>
    </row>
    <row r="886" spans="3:4">
      <c r="C886" s="5"/>
      <c r="D886" s="5"/>
    </row>
    <row r="887" spans="3:4">
      <c r="C887" s="5"/>
      <c r="D887" s="5"/>
    </row>
    <row r="888" spans="3:4">
      <c r="C888" s="5"/>
      <c r="D888" s="5"/>
    </row>
    <row r="889" spans="3:4">
      <c r="C889" s="5"/>
      <c r="D889" s="5"/>
    </row>
    <row r="890" spans="3:4">
      <c r="C890" s="5"/>
      <c r="D890" s="5"/>
    </row>
    <row r="891" spans="3:4">
      <c r="C891" s="5"/>
      <c r="D891" s="5"/>
    </row>
    <row r="892" spans="3:4">
      <c r="C892" s="5"/>
      <c r="D892" s="5"/>
    </row>
    <row r="893" spans="3:4">
      <c r="C893" s="5"/>
      <c r="D893" s="5"/>
    </row>
    <row r="894" spans="3:4">
      <c r="C894" s="5"/>
      <c r="D894" s="5"/>
    </row>
    <row r="895" spans="3:4">
      <c r="C895" s="5"/>
      <c r="D895" s="5"/>
    </row>
    <row r="896" spans="3:4">
      <c r="C896" s="5"/>
      <c r="D896" s="5"/>
    </row>
    <row r="897" spans="3:4">
      <c r="C897" s="5"/>
      <c r="D897" s="5"/>
    </row>
    <row r="898" spans="3:4">
      <c r="C898" s="5"/>
      <c r="D898" s="5"/>
    </row>
    <row r="899" spans="3:4">
      <c r="C899" s="5"/>
      <c r="D899" s="5"/>
    </row>
    <row r="900" spans="3:4">
      <c r="C900" s="5"/>
      <c r="D900" s="5"/>
    </row>
    <row r="901" spans="3:4">
      <c r="C901" s="5"/>
      <c r="D901" s="5"/>
    </row>
    <row r="902" spans="3:4">
      <c r="C902" s="5"/>
      <c r="D902" s="5"/>
    </row>
    <row r="903" spans="3:4">
      <c r="C903" s="5"/>
      <c r="D903" s="5"/>
    </row>
    <row r="904" spans="3:4">
      <c r="C904" s="5"/>
      <c r="D904" s="5"/>
    </row>
    <row r="905" spans="3:4">
      <c r="C905" s="5"/>
      <c r="D905" s="5"/>
    </row>
    <row r="906" spans="3:4">
      <c r="C906" s="5"/>
      <c r="D906" s="5"/>
    </row>
    <row r="907" spans="3:4">
      <c r="C907" s="5"/>
      <c r="D907" s="5"/>
    </row>
    <row r="908" spans="3:4">
      <c r="C908" s="5"/>
      <c r="D908" s="5"/>
    </row>
    <row r="909" spans="3:4">
      <c r="C909" s="5"/>
      <c r="D909" s="5"/>
    </row>
    <row r="910" spans="3:4">
      <c r="C910" s="5"/>
      <c r="D910" s="5"/>
    </row>
    <row r="911" spans="3:4">
      <c r="C911" s="5"/>
      <c r="D911" s="5"/>
    </row>
    <row r="912" spans="3:4">
      <c r="C912" s="5"/>
      <c r="D912" s="5"/>
    </row>
    <row r="913" spans="3:4">
      <c r="C913" s="5"/>
      <c r="D913" s="5"/>
    </row>
    <row r="914" spans="3:4">
      <c r="C914" s="5"/>
      <c r="D914" s="5"/>
    </row>
    <row r="915" spans="3:4">
      <c r="C915" s="5"/>
      <c r="D915" s="5"/>
    </row>
    <row r="916" spans="3:4">
      <c r="C916" s="5"/>
      <c r="D916" s="5"/>
    </row>
    <row r="917" spans="3:4">
      <c r="C917" s="5"/>
      <c r="D917" s="5"/>
    </row>
    <row r="918" spans="3:4">
      <c r="C918" s="5"/>
      <c r="D918" s="5"/>
    </row>
    <row r="919" spans="3:4">
      <c r="C919" s="5"/>
      <c r="D919" s="5"/>
    </row>
    <row r="920" spans="3:4">
      <c r="C920" s="5"/>
      <c r="D920" s="5"/>
    </row>
    <row r="921" spans="3:4">
      <c r="C921" s="5"/>
      <c r="D921" s="5"/>
    </row>
    <row r="922" spans="3:4">
      <c r="C922" s="5"/>
      <c r="D922" s="5"/>
    </row>
    <row r="923" spans="3:4">
      <c r="C923" s="5"/>
      <c r="D923" s="5"/>
    </row>
    <row r="924" spans="3:4">
      <c r="C924" s="5"/>
      <c r="D924" s="5"/>
    </row>
    <row r="925" spans="3:4">
      <c r="C925" s="5"/>
      <c r="D925" s="5"/>
    </row>
    <row r="926" spans="3:4">
      <c r="C926" s="5"/>
      <c r="D926" s="5"/>
    </row>
    <row r="927" spans="3:4">
      <c r="C927" s="5"/>
      <c r="D927" s="5"/>
    </row>
    <row r="928" spans="3:4">
      <c r="C928" s="5"/>
      <c r="D928" s="5"/>
    </row>
    <row r="929" spans="3:4">
      <c r="C929" s="5"/>
      <c r="D929" s="5"/>
    </row>
    <row r="930" spans="3:4">
      <c r="C930" s="5"/>
      <c r="D930" s="5"/>
    </row>
    <row r="931" spans="3:4">
      <c r="C931" s="5"/>
      <c r="D931" s="5"/>
    </row>
    <row r="932" spans="3:4">
      <c r="C932" s="5"/>
      <c r="D932" s="5"/>
    </row>
    <row r="933" spans="3:4">
      <c r="C933" s="5"/>
      <c r="D933" s="5"/>
    </row>
    <row r="934" spans="3:4">
      <c r="C934" s="5"/>
      <c r="D934" s="5"/>
    </row>
    <row r="935" spans="3:4">
      <c r="C935" s="5"/>
      <c r="D935" s="5"/>
    </row>
    <row r="936" spans="3:4">
      <c r="C936" s="5"/>
      <c r="D936" s="5"/>
    </row>
    <row r="937" spans="3:4">
      <c r="C937" s="5"/>
      <c r="D937" s="5"/>
    </row>
    <row r="938" spans="3:4">
      <c r="C938" s="5"/>
      <c r="D938" s="5"/>
    </row>
    <row r="939" spans="3:4">
      <c r="C939" s="5"/>
      <c r="D939" s="5"/>
    </row>
    <row r="940" spans="3:4">
      <c r="C940" s="5"/>
      <c r="D940" s="5"/>
    </row>
    <row r="941" spans="3:4">
      <c r="C941" s="5"/>
      <c r="D941" s="5"/>
    </row>
    <row r="942" spans="3:4">
      <c r="C942" s="5"/>
      <c r="D942" s="5"/>
    </row>
    <row r="943" spans="3:4">
      <c r="C943" s="5"/>
      <c r="D943" s="5"/>
    </row>
    <row r="944" spans="3:4">
      <c r="C944" s="5"/>
      <c r="D944" s="5"/>
    </row>
    <row r="945" spans="3:4">
      <c r="C945" s="5"/>
      <c r="D945" s="5"/>
    </row>
    <row r="946" spans="3:4">
      <c r="C946" s="5"/>
      <c r="D946" s="5"/>
    </row>
    <row r="947" spans="3:4">
      <c r="C947" s="5"/>
      <c r="D947" s="5"/>
    </row>
    <row r="948" spans="3:4">
      <c r="C948" s="5"/>
      <c r="D948" s="5"/>
    </row>
    <row r="949" spans="3:4">
      <c r="C949" s="5"/>
      <c r="D949" s="5"/>
    </row>
    <row r="950" spans="3:4">
      <c r="C950" s="5"/>
      <c r="D950" s="5"/>
    </row>
    <row r="951" spans="3:4">
      <c r="C951" s="5"/>
      <c r="D951" s="5"/>
    </row>
    <row r="952" spans="3:4">
      <c r="C952" s="5"/>
      <c r="D952" s="5"/>
    </row>
    <row r="953" spans="3:4">
      <c r="C953" s="5"/>
      <c r="D953" s="5"/>
    </row>
    <row r="954" spans="3:4">
      <c r="C954" s="5"/>
      <c r="D954" s="5"/>
    </row>
    <row r="955" spans="3:4">
      <c r="C955" s="5"/>
      <c r="D955" s="5"/>
    </row>
    <row r="956" spans="3:4">
      <c r="C956" s="5"/>
      <c r="D956" s="5"/>
    </row>
    <row r="957" spans="3:4">
      <c r="C957" s="5"/>
      <c r="D957" s="5"/>
    </row>
    <row r="958" spans="3:4">
      <c r="C958" s="5"/>
      <c r="D958" s="5"/>
    </row>
    <row r="959" spans="3:4">
      <c r="C959" s="5"/>
      <c r="D959" s="5"/>
    </row>
    <row r="960" spans="3:4">
      <c r="C960" s="5"/>
      <c r="D960" s="5"/>
    </row>
    <row r="961" spans="3:4">
      <c r="C961" s="5"/>
      <c r="D961" s="5"/>
    </row>
    <row r="962" spans="3:4">
      <c r="C962" s="5"/>
      <c r="D962" s="5"/>
    </row>
    <row r="963" spans="3:4">
      <c r="C963" s="5"/>
      <c r="D963" s="5"/>
    </row>
    <row r="964" spans="3:4">
      <c r="C964" s="5"/>
      <c r="D964" s="5"/>
    </row>
    <row r="965" spans="3:4">
      <c r="C965" s="5"/>
      <c r="D965" s="5"/>
    </row>
    <row r="966" spans="3:4">
      <c r="C966" s="5"/>
      <c r="D966" s="5"/>
    </row>
    <row r="967" spans="3:4">
      <c r="C967" s="5"/>
      <c r="D967" s="5"/>
    </row>
    <row r="968" spans="3:4">
      <c r="C968" s="5"/>
      <c r="D968" s="5"/>
    </row>
    <row r="969" spans="3:4">
      <c r="C969" s="5"/>
      <c r="D969" s="5"/>
    </row>
    <row r="970" spans="3:4">
      <c r="C970" s="5"/>
      <c r="D970" s="5"/>
    </row>
    <row r="971" spans="3:4">
      <c r="C971" s="5"/>
      <c r="D971" s="5"/>
    </row>
    <row r="972" spans="3:4">
      <c r="C972" s="5"/>
      <c r="D972" s="5"/>
    </row>
    <row r="973" spans="3:4">
      <c r="C973" s="5"/>
      <c r="D973" s="5"/>
    </row>
    <row r="974" spans="3:4">
      <c r="C974" s="5"/>
      <c r="D974" s="5"/>
    </row>
    <row r="975" spans="3:4">
      <c r="C975" s="5"/>
      <c r="D975" s="5"/>
    </row>
    <row r="976" spans="3:4">
      <c r="C976" s="5"/>
      <c r="D976" s="5"/>
    </row>
    <row r="977" spans="3:4">
      <c r="C977" s="5"/>
      <c r="D977" s="5"/>
    </row>
    <row r="978" spans="3:4">
      <c r="C978" s="5"/>
      <c r="D978" s="5"/>
    </row>
    <row r="979" spans="3:4">
      <c r="C979" s="5"/>
      <c r="D979" s="5"/>
    </row>
    <row r="980" spans="3:4">
      <c r="C980" s="5"/>
      <c r="D980" s="5"/>
    </row>
    <row r="981" spans="3:4">
      <c r="C981" s="5"/>
      <c r="D981" s="5"/>
    </row>
    <row r="982" spans="3:4">
      <c r="C982" s="5"/>
      <c r="D982" s="5"/>
    </row>
    <row r="983" spans="3:4">
      <c r="C983" s="5"/>
      <c r="D983" s="5"/>
    </row>
    <row r="984" spans="3:4">
      <c r="C984" s="5"/>
      <c r="D984" s="5"/>
    </row>
    <row r="985" spans="3:4">
      <c r="C985" s="5"/>
      <c r="D985" s="5"/>
    </row>
    <row r="986" spans="3:4">
      <c r="C986" s="5"/>
      <c r="D986" s="5"/>
    </row>
    <row r="987" spans="3:4">
      <c r="C987" s="5"/>
      <c r="D987" s="5"/>
    </row>
    <row r="988" spans="3:4">
      <c r="C988" s="5"/>
      <c r="D988" s="5"/>
    </row>
    <row r="989" spans="3:4">
      <c r="C989" s="5"/>
      <c r="D989" s="5"/>
    </row>
    <row r="990" spans="3:4">
      <c r="C990" s="5"/>
      <c r="D990" s="5"/>
    </row>
    <row r="991" spans="3:4">
      <c r="C991" s="5"/>
      <c r="D991" s="5"/>
    </row>
    <row r="992" spans="3:4">
      <c r="C992" s="5"/>
      <c r="D992" s="5"/>
    </row>
    <row r="993" spans="3:4">
      <c r="C993" s="5"/>
      <c r="D993" s="5"/>
    </row>
    <row r="994" spans="3:4">
      <c r="C994" s="5"/>
      <c r="D994" s="5"/>
    </row>
    <row r="995" spans="3:4">
      <c r="C995" s="5"/>
      <c r="D995" s="5"/>
    </row>
    <row r="996" spans="3:4">
      <c r="C996" s="5"/>
      <c r="D996" s="5"/>
    </row>
    <row r="997" spans="3:4">
      <c r="C997" s="5"/>
      <c r="D997" s="5"/>
    </row>
    <row r="998" spans="3:4">
      <c r="C998" s="5"/>
      <c r="D998" s="5"/>
    </row>
    <row r="999" spans="3:4">
      <c r="C999" s="5"/>
      <c r="D999" s="5"/>
    </row>
    <row r="1000" spans="3:4">
      <c r="C1000" s="5"/>
      <c r="D1000" s="5"/>
    </row>
    <row r="1001" spans="3:4">
      <c r="C1001" s="5"/>
      <c r="D1001" s="5"/>
    </row>
    <row r="1002" spans="3:4">
      <c r="C1002" s="5"/>
      <c r="D1002" s="5"/>
    </row>
    <row r="1003" spans="3:4">
      <c r="C1003" s="5"/>
      <c r="D1003" s="5"/>
    </row>
    <row r="1004" spans="3:4">
      <c r="C1004" s="5"/>
      <c r="D1004" s="5"/>
    </row>
    <row r="1005" spans="3:4">
      <c r="C1005" s="5"/>
      <c r="D1005" s="5"/>
    </row>
    <row r="1006" spans="3:4">
      <c r="C1006" s="5"/>
      <c r="D1006" s="5"/>
    </row>
    <row r="1007" spans="3:4">
      <c r="C1007" s="5"/>
      <c r="D1007" s="5"/>
    </row>
    <row r="1008" spans="3:4">
      <c r="C1008" s="5"/>
      <c r="D1008" s="5"/>
    </row>
    <row r="1009" spans="3:4">
      <c r="C1009" s="5"/>
      <c r="D1009" s="5"/>
    </row>
    <row r="1010" spans="3:4">
      <c r="C1010" s="5"/>
      <c r="D1010" s="5"/>
    </row>
    <row r="1011" spans="3:4">
      <c r="C1011" s="5"/>
      <c r="D1011" s="5"/>
    </row>
    <row r="1012" spans="3:4">
      <c r="C1012" s="5"/>
      <c r="D1012" s="5"/>
    </row>
    <row r="1013" spans="3:4">
      <c r="C1013" s="5"/>
      <c r="D1013" s="5"/>
    </row>
    <row r="1014" spans="3:4">
      <c r="C1014" s="5"/>
      <c r="D1014" s="5"/>
    </row>
    <row r="1015" spans="3:4">
      <c r="C1015" s="5"/>
      <c r="D1015" s="5"/>
    </row>
    <row r="1016" spans="3:4">
      <c r="C1016" s="5"/>
      <c r="D1016" s="5"/>
    </row>
    <row r="1017" spans="3:4">
      <c r="C1017" s="5"/>
      <c r="D1017" s="5"/>
    </row>
    <row r="1018" spans="3:4">
      <c r="C1018" s="5"/>
      <c r="D1018" s="5"/>
    </row>
    <row r="1019" spans="3:4">
      <c r="C1019" s="5"/>
      <c r="D1019" s="5"/>
    </row>
    <row r="1020" spans="3:4">
      <c r="C1020" s="5"/>
      <c r="D1020" s="5"/>
    </row>
    <row r="1021" spans="3:4">
      <c r="C1021" s="5"/>
      <c r="D1021" s="5"/>
    </row>
    <row r="1022" spans="3:4">
      <c r="C1022" s="5"/>
      <c r="D1022" s="5"/>
    </row>
    <row r="1023" spans="3:4">
      <c r="C1023" s="5"/>
      <c r="D1023" s="5"/>
    </row>
    <row r="1024" spans="3:4">
      <c r="C1024" s="5"/>
      <c r="D1024" s="5"/>
    </row>
    <row r="1025" spans="3:4">
      <c r="C1025" s="5"/>
      <c r="D1025" s="5"/>
    </row>
    <row r="1026" spans="3:4">
      <c r="C1026" s="5"/>
      <c r="D1026" s="5"/>
    </row>
    <row r="1027" spans="3:4">
      <c r="C1027" s="5"/>
      <c r="D1027" s="5"/>
    </row>
    <row r="1028" spans="3:4">
      <c r="C1028" s="5"/>
      <c r="D1028" s="5"/>
    </row>
    <row r="1029" spans="3:4">
      <c r="C1029" s="5"/>
      <c r="D1029" s="5"/>
    </row>
    <row r="1030" spans="3:4">
      <c r="C1030" s="5"/>
      <c r="D1030" s="5"/>
    </row>
    <row r="1031" spans="3:4">
      <c r="C1031" s="5"/>
      <c r="D1031" s="5"/>
    </row>
    <row r="1032" spans="3:4">
      <c r="C1032" s="5"/>
      <c r="D1032" s="5"/>
    </row>
    <row r="1033" spans="3:4">
      <c r="C1033" s="5"/>
      <c r="D1033" s="5"/>
    </row>
    <row r="1034" spans="3:4">
      <c r="C1034" s="5"/>
      <c r="D1034" s="5"/>
    </row>
    <row r="1035" spans="3:4">
      <c r="C1035" s="5"/>
      <c r="D1035" s="5"/>
    </row>
    <row r="1036" spans="3:4">
      <c r="C1036" s="5"/>
      <c r="D1036" s="5"/>
    </row>
    <row r="1037" spans="3:4">
      <c r="C1037" s="5"/>
      <c r="D1037" s="5"/>
    </row>
    <row r="1038" spans="3:4">
      <c r="C1038" s="5"/>
      <c r="D1038" s="5"/>
    </row>
    <row r="1039" spans="3:4">
      <c r="C1039" s="5"/>
      <c r="D1039" s="5"/>
    </row>
    <row r="1040" spans="3:4">
      <c r="C1040" s="5"/>
      <c r="D1040" s="5"/>
    </row>
    <row r="1041" spans="3:4">
      <c r="C1041" s="5"/>
      <c r="D1041" s="5"/>
    </row>
    <row r="1042" spans="3:4">
      <c r="C1042" s="5"/>
      <c r="D1042" s="5"/>
    </row>
    <row r="1043" spans="3:4">
      <c r="C1043" s="5"/>
      <c r="D1043" s="5"/>
    </row>
    <row r="1044" spans="3:4">
      <c r="C1044" s="5"/>
      <c r="D1044" s="5"/>
    </row>
    <row r="1045" spans="3:4">
      <c r="C1045" s="5"/>
      <c r="D1045" s="5"/>
    </row>
    <row r="1046" spans="3:4">
      <c r="C1046" s="5"/>
      <c r="D1046" s="5"/>
    </row>
    <row r="1047" spans="3:4">
      <c r="C1047" s="5"/>
      <c r="D1047" s="5"/>
    </row>
    <row r="1048" spans="3:4">
      <c r="C1048" s="5"/>
      <c r="D1048" s="5"/>
    </row>
    <row r="1049" spans="3:4">
      <c r="C1049" s="5"/>
      <c r="D1049" s="5"/>
    </row>
    <row r="1050" spans="3:4">
      <c r="C1050" s="5"/>
      <c r="D1050" s="5"/>
    </row>
    <row r="1051" spans="3:4">
      <c r="C1051" s="5"/>
      <c r="D1051" s="5"/>
    </row>
    <row r="1052" spans="3:4">
      <c r="C1052" s="5"/>
      <c r="D1052" s="5"/>
    </row>
    <row r="1053" spans="3:4">
      <c r="C1053" s="5"/>
      <c r="D1053" s="5"/>
    </row>
    <row r="1054" spans="3:4">
      <c r="C1054" s="5"/>
      <c r="D1054" s="5"/>
    </row>
    <row r="1055" spans="3:4">
      <c r="C1055" s="5"/>
      <c r="D1055" s="5"/>
    </row>
    <row r="1056" spans="3:4">
      <c r="C1056" s="5"/>
      <c r="D1056" s="5"/>
    </row>
    <row r="1057" spans="3:4">
      <c r="C1057" s="5"/>
      <c r="D1057" s="5"/>
    </row>
    <row r="1058" spans="3:4">
      <c r="C1058" s="5"/>
      <c r="D1058" s="5"/>
    </row>
    <row r="1059" spans="3:4">
      <c r="C1059" s="5"/>
      <c r="D1059" s="5"/>
    </row>
    <row r="1060" spans="3:4">
      <c r="C1060" s="5"/>
      <c r="D1060" s="5"/>
    </row>
    <row r="1061" spans="3:4">
      <c r="C1061" s="5"/>
      <c r="D1061" s="5"/>
    </row>
    <row r="1062" spans="3:4">
      <c r="C1062" s="5"/>
      <c r="D1062" s="5"/>
    </row>
    <row r="1063" spans="3:4">
      <c r="C1063" s="5"/>
      <c r="D1063" s="5"/>
    </row>
    <row r="1064" spans="3:4">
      <c r="C1064" s="5"/>
      <c r="D1064" s="5"/>
    </row>
    <row r="1065" spans="3:4">
      <c r="C1065" s="5"/>
      <c r="D1065" s="5"/>
    </row>
    <row r="1066" spans="3:4">
      <c r="C1066" s="5"/>
      <c r="D1066" s="5"/>
    </row>
    <row r="1067" spans="3:4">
      <c r="C1067" s="5"/>
      <c r="D1067" s="5"/>
    </row>
    <row r="1068" spans="3:4">
      <c r="C1068" s="5"/>
      <c r="D1068" s="5"/>
    </row>
    <row r="1069" spans="3:4">
      <c r="C1069" s="5"/>
      <c r="D1069" s="5"/>
    </row>
    <row r="1070" spans="3:4">
      <c r="C1070" s="5"/>
      <c r="D1070" s="5"/>
    </row>
    <row r="1071" spans="3:4">
      <c r="C1071" s="5"/>
      <c r="D1071" s="5"/>
    </row>
    <row r="1072" spans="3:4">
      <c r="C1072" s="5"/>
      <c r="D1072" s="5"/>
    </row>
    <row r="1073" spans="3:4">
      <c r="C1073" s="5"/>
      <c r="D1073" s="5"/>
    </row>
    <row r="1074" spans="3:4">
      <c r="C1074" s="5"/>
      <c r="D1074" s="5"/>
    </row>
    <row r="1075" spans="3:4">
      <c r="C1075" s="5"/>
      <c r="D1075" s="5"/>
    </row>
    <row r="1076" spans="3:4">
      <c r="C1076" s="5"/>
      <c r="D1076" s="5"/>
    </row>
    <row r="1077" spans="3:4">
      <c r="C1077" s="5"/>
      <c r="D1077" s="5"/>
    </row>
    <row r="1078" spans="3:4">
      <c r="C1078" s="5"/>
      <c r="D1078" s="5"/>
    </row>
    <row r="1079" spans="3:4">
      <c r="C1079" s="5"/>
      <c r="D1079" s="5"/>
    </row>
    <row r="1080" spans="3:4">
      <c r="C1080" s="5"/>
      <c r="D1080" s="5"/>
    </row>
    <row r="1081" spans="3:4">
      <c r="C1081" s="5"/>
      <c r="D1081" s="5"/>
    </row>
    <row r="1082" spans="3:4">
      <c r="C1082" s="5"/>
      <c r="D1082" s="5"/>
    </row>
    <row r="1083" spans="3:4">
      <c r="C1083" s="5"/>
      <c r="D1083" s="5"/>
    </row>
    <row r="1084" spans="3:4">
      <c r="C1084" s="5"/>
      <c r="D1084" s="5"/>
    </row>
    <row r="1085" spans="3:4">
      <c r="C1085" s="5"/>
      <c r="D1085" s="5"/>
    </row>
    <row r="1086" spans="3:4">
      <c r="C1086" s="5"/>
      <c r="D1086" s="5"/>
    </row>
    <row r="1087" spans="3:4">
      <c r="C1087" s="5"/>
      <c r="D1087" s="5"/>
    </row>
    <row r="1088" spans="3:4">
      <c r="C1088" s="5"/>
      <c r="D1088" s="5"/>
    </row>
    <row r="1089" spans="3:4">
      <c r="C1089" s="5"/>
      <c r="D1089" s="5"/>
    </row>
    <row r="1090" spans="3:4">
      <c r="C1090" s="5"/>
      <c r="D1090" s="5"/>
    </row>
    <row r="1091" spans="3:4">
      <c r="C1091" s="5"/>
      <c r="D1091" s="5"/>
    </row>
    <row r="1092" spans="3:4">
      <c r="C1092" s="5"/>
      <c r="D1092" s="5"/>
    </row>
    <row r="1093" spans="3:4">
      <c r="C1093" s="5"/>
      <c r="D1093" s="5"/>
    </row>
    <row r="1094" spans="3:4">
      <c r="C1094" s="5"/>
      <c r="D1094" s="5"/>
    </row>
    <row r="1095" spans="3:4">
      <c r="C1095" s="5"/>
      <c r="D1095" s="5"/>
    </row>
    <row r="1096" spans="3:4">
      <c r="C1096" s="5"/>
      <c r="D1096" s="5"/>
    </row>
    <row r="1097" spans="3:4">
      <c r="C1097" s="5"/>
      <c r="D1097" s="5"/>
    </row>
    <row r="1098" spans="3:4">
      <c r="C1098" s="5"/>
      <c r="D1098" s="5"/>
    </row>
    <row r="1099" spans="3:4">
      <c r="C1099" s="5"/>
      <c r="D1099" s="5"/>
    </row>
    <row r="1100" spans="3:4">
      <c r="C1100" s="5"/>
      <c r="D1100" s="5"/>
    </row>
    <row r="1101" spans="3:4">
      <c r="C1101" s="5"/>
      <c r="D1101" s="5"/>
    </row>
    <row r="1102" spans="3:4">
      <c r="C1102" s="5"/>
      <c r="D1102" s="5"/>
    </row>
    <row r="1103" spans="3:4">
      <c r="C1103" s="5"/>
      <c r="D1103" s="5"/>
    </row>
    <row r="1104" spans="3:4">
      <c r="C1104" s="5"/>
      <c r="D1104" s="5"/>
    </row>
    <row r="1105" spans="3:4">
      <c r="C1105" s="5"/>
      <c r="D1105" s="5"/>
    </row>
    <row r="1106" spans="3:4">
      <c r="C1106" s="5"/>
      <c r="D1106" s="5"/>
    </row>
    <row r="1107" spans="3:4">
      <c r="C1107" s="5"/>
      <c r="D1107" s="5"/>
    </row>
    <row r="1108" spans="3:4">
      <c r="C1108" s="5"/>
      <c r="D1108" s="5"/>
    </row>
    <row r="1109" spans="3:4">
      <c r="C1109" s="5"/>
      <c r="D1109" s="5"/>
    </row>
    <row r="1110" spans="3:4">
      <c r="C1110" s="5"/>
      <c r="D1110" s="5"/>
    </row>
    <row r="1111" spans="3:4">
      <c r="C1111" s="5"/>
      <c r="D1111" s="5"/>
    </row>
    <row r="1112" spans="3:4">
      <c r="C1112" s="5"/>
      <c r="D1112" s="5"/>
    </row>
    <row r="1113" spans="3:4">
      <c r="C1113" s="5"/>
      <c r="D1113" s="5"/>
    </row>
    <row r="1114" spans="3:4">
      <c r="C1114" s="5"/>
      <c r="D1114" s="5"/>
    </row>
    <row r="1115" spans="3:4">
      <c r="C1115" s="5"/>
      <c r="D1115" s="5"/>
    </row>
    <row r="1116" spans="3:4">
      <c r="C1116" s="5"/>
      <c r="D1116" s="5"/>
    </row>
    <row r="1117" spans="3:4">
      <c r="C1117" s="5"/>
      <c r="D1117" s="5"/>
    </row>
    <row r="1118" spans="3:4">
      <c r="C1118" s="5"/>
      <c r="D1118" s="5"/>
    </row>
    <row r="1119" spans="3:4">
      <c r="C1119" s="5"/>
      <c r="D1119" s="5"/>
    </row>
    <row r="1120" spans="3:4">
      <c r="C1120" s="5"/>
      <c r="D1120" s="5"/>
    </row>
    <row r="1121" spans="3:4">
      <c r="C1121" s="5"/>
      <c r="D1121" s="5"/>
    </row>
    <row r="1122" spans="3:4">
      <c r="C1122" s="5"/>
      <c r="D1122" s="5"/>
    </row>
    <row r="1123" spans="3:4">
      <c r="C1123" s="5"/>
      <c r="D1123" s="5"/>
    </row>
    <row r="1124" spans="3:4">
      <c r="C1124" s="5"/>
      <c r="D1124" s="5"/>
    </row>
    <row r="1125" spans="3:4">
      <c r="C1125" s="5"/>
      <c r="D1125" s="5"/>
    </row>
    <row r="1126" spans="3:4">
      <c r="C1126" s="5"/>
      <c r="D1126" s="5"/>
    </row>
    <row r="1127" spans="3:4">
      <c r="C1127" s="5"/>
      <c r="D1127" s="5"/>
    </row>
    <row r="1128" spans="3:4">
      <c r="C1128" s="5"/>
      <c r="D1128" s="5"/>
    </row>
    <row r="1129" spans="3:4">
      <c r="C1129" s="5"/>
      <c r="D1129" s="5"/>
    </row>
    <row r="1130" spans="3:4">
      <c r="C1130" s="5"/>
      <c r="D1130" s="5"/>
    </row>
    <row r="1131" spans="3:4">
      <c r="C1131" s="5"/>
      <c r="D1131" s="5"/>
    </row>
    <row r="1132" spans="3:4">
      <c r="C1132" s="5"/>
      <c r="D1132" s="5"/>
    </row>
    <row r="1133" spans="3:4">
      <c r="C1133" s="5"/>
      <c r="D1133" s="5"/>
    </row>
    <row r="1134" spans="3:4">
      <c r="C1134" s="5"/>
      <c r="D1134" s="5"/>
    </row>
    <row r="1135" spans="3:4">
      <c r="C1135" s="5"/>
      <c r="D1135" s="5"/>
    </row>
    <row r="1136" spans="3:4">
      <c r="C1136" s="5"/>
      <c r="D1136" s="5"/>
    </row>
    <row r="1137" spans="3:4">
      <c r="C1137" s="5"/>
      <c r="D1137" s="5"/>
    </row>
    <row r="1138" spans="3:4">
      <c r="C1138" s="5"/>
      <c r="D1138" s="5"/>
    </row>
    <row r="1139" spans="3:4">
      <c r="C1139" s="5"/>
      <c r="D1139" s="5"/>
    </row>
    <row r="1140" spans="3:4">
      <c r="C1140" s="5"/>
      <c r="D1140" s="5"/>
    </row>
    <row r="1141" spans="3:4">
      <c r="C1141" s="5"/>
      <c r="D1141" s="5"/>
    </row>
    <row r="1142" spans="3:4">
      <c r="C1142" s="5"/>
      <c r="D1142" s="5"/>
    </row>
    <row r="1143" spans="3:4">
      <c r="C1143" s="5"/>
      <c r="D1143" s="5"/>
    </row>
    <row r="1144" spans="3:4">
      <c r="C1144" s="5"/>
      <c r="D1144" s="5"/>
    </row>
    <row r="1145" spans="3:4">
      <c r="C1145" s="5"/>
      <c r="D1145" s="5"/>
    </row>
    <row r="1146" spans="3:4">
      <c r="C1146" s="5"/>
      <c r="D1146" s="5"/>
    </row>
    <row r="1147" spans="3:4">
      <c r="C1147" s="5"/>
      <c r="D1147" s="5"/>
    </row>
    <row r="1148" spans="3:4">
      <c r="C1148" s="5"/>
      <c r="D1148" s="5"/>
    </row>
    <row r="1149" spans="3:4">
      <c r="C1149" s="5"/>
      <c r="D1149" s="5"/>
    </row>
    <row r="1150" spans="3:4">
      <c r="C1150" s="5"/>
      <c r="D1150" s="5"/>
    </row>
    <row r="1151" spans="3:4">
      <c r="C1151" s="5"/>
      <c r="D1151" s="5"/>
    </row>
    <row r="1152" spans="3:4">
      <c r="C1152" s="5"/>
      <c r="D1152" s="5"/>
    </row>
    <row r="1153" spans="3:4">
      <c r="C1153" s="5"/>
      <c r="D1153" s="5"/>
    </row>
    <row r="1154" spans="3:4">
      <c r="C1154" s="5"/>
      <c r="D1154" s="5"/>
    </row>
    <row r="1155" spans="3:4">
      <c r="C1155" s="5"/>
      <c r="D1155" s="5"/>
    </row>
    <row r="1156" spans="3:4">
      <c r="C1156" s="5"/>
      <c r="D1156" s="5"/>
    </row>
    <row r="1157" spans="3:4">
      <c r="C1157" s="5"/>
      <c r="D1157" s="5"/>
    </row>
    <row r="1158" spans="3:4">
      <c r="C1158" s="5"/>
      <c r="D1158" s="5"/>
    </row>
    <row r="1159" spans="3:4">
      <c r="C1159" s="5"/>
      <c r="D1159" s="5"/>
    </row>
    <row r="1160" spans="3:4">
      <c r="C1160" s="5"/>
      <c r="D1160" s="5"/>
    </row>
    <row r="1161" spans="3:4">
      <c r="C1161" s="5"/>
      <c r="D1161" s="5"/>
    </row>
    <row r="1162" spans="3:4">
      <c r="C1162" s="5"/>
      <c r="D1162" s="5"/>
    </row>
    <row r="1163" spans="3:4">
      <c r="C1163" s="5"/>
      <c r="D1163" s="5"/>
    </row>
    <row r="1164" spans="3:4">
      <c r="C1164" s="5"/>
      <c r="D1164" s="5"/>
    </row>
    <row r="1165" spans="3:4">
      <c r="C1165" s="5"/>
      <c r="D1165" s="5"/>
    </row>
    <row r="1166" spans="3:4">
      <c r="C1166" s="5"/>
      <c r="D1166" s="5"/>
    </row>
    <row r="1167" spans="3:4">
      <c r="C1167" s="5"/>
      <c r="D1167" s="5"/>
    </row>
    <row r="1168" spans="3:4">
      <c r="C1168" s="5"/>
      <c r="D1168" s="5"/>
    </row>
    <row r="1169" spans="3:4">
      <c r="C1169" s="5"/>
      <c r="D1169" s="5"/>
    </row>
    <row r="1170" spans="3:4">
      <c r="C1170" s="5"/>
      <c r="D1170" s="5"/>
    </row>
    <row r="1171" spans="3:4">
      <c r="C1171" s="5"/>
      <c r="D1171" s="5"/>
    </row>
    <row r="1172" spans="3:4">
      <c r="C1172" s="5"/>
      <c r="D1172" s="5"/>
    </row>
    <row r="1173" spans="3:4">
      <c r="C1173" s="5"/>
      <c r="D1173" s="5"/>
    </row>
    <row r="1174" spans="3:4">
      <c r="C1174" s="5"/>
      <c r="D1174" s="5"/>
    </row>
    <row r="1175" spans="3:4">
      <c r="C1175" s="5"/>
      <c r="D1175" s="5"/>
    </row>
    <row r="1176" spans="3:4">
      <c r="C1176" s="5"/>
      <c r="D1176" s="5"/>
    </row>
    <row r="1177" spans="3:4">
      <c r="C1177" s="5"/>
      <c r="D1177" s="5"/>
    </row>
    <row r="1178" spans="3:4">
      <c r="C1178" s="5"/>
      <c r="D1178" s="5"/>
    </row>
    <row r="1179" spans="3:4">
      <c r="C1179" s="5"/>
      <c r="D1179" s="5"/>
    </row>
    <row r="1180" spans="3:4">
      <c r="C1180" s="5"/>
      <c r="D1180" s="5"/>
    </row>
    <row r="1181" spans="3:4">
      <c r="C1181" s="5"/>
      <c r="D1181" s="5"/>
    </row>
    <row r="1182" spans="3:4">
      <c r="C1182" s="5"/>
      <c r="D1182" s="5"/>
    </row>
    <row r="1183" spans="3:4">
      <c r="C1183" s="5"/>
      <c r="D1183" s="5"/>
    </row>
    <row r="1184" spans="3:4">
      <c r="C1184" s="5"/>
      <c r="D1184" s="5"/>
    </row>
    <row r="1185" spans="3:4">
      <c r="C1185" s="5"/>
      <c r="D1185" s="5"/>
    </row>
    <row r="1186" spans="3:4">
      <c r="C1186" s="5"/>
      <c r="D1186" s="5"/>
    </row>
    <row r="1187" spans="3:4">
      <c r="C1187" s="5"/>
      <c r="D1187" s="5"/>
    </row>
    <row r="1188" spans="3:4">
      <c r="C1188" s="5"/>
      <c r="D1188" s="5"/>
    </row>
    <row r="1189" spans="3:4">
      <c r="C1189" s="5"/>
      <c r="D1189" s="5"/>
    </row>
    <row r="1190" spans="3:4">
      <c r="C1190" s="5"/>
      <c r="D1190" s="5"/>
    </row>
    <row r="1191" spans="3:4">
      <c r="C1191" s="5"/>
      <c r="D1191" s="5"/>
    </row>
    <row r="1192" spans="3:4">
      <c r="C1192" s="5"/>
      <c r="D1192" s="5"/>
    </row>
    <row r="1193" spans="3:4">
      <c r="C1193" s="5"/>
      <c r="D1193" s="5"/>
    </row>
    <row r="1194" spans="3:4">
      <c r="C1194" s="5"/>
      <c r="D1194" s="5"/>
    </row>
    <row r="1195" spans="3:4">
      <c r="C1195" s="5"/>
      <c r="D1195" s="5"/>
    </row>
    <row r="1196" spans="3:4">
      <c r="C1196" s="5"/>
      <c r="D1196" s="5"/>
    </row>
    <row r="1197" spans="3:4">
      <c r="C1197" s="5"/>
      <c r="D1197" s="5"/>
    </row>
    <row r="1198" spans="3:4">
      <c r="C1198" s="5"/>
      <c r="D1198" s="5"/>
    </row>
    <row r="1199" spans="3:4">
      <c r="C1199" s="5"/>
      <c r="D1199" s="5"/>
    </row>
    <row r="1200" spans="3:4">
      <c r="C1200" s="5"/>
      <c r="D1200" s="5"/>
    </row>
    <row r="1201" spans="3:4">
      <c r="C1201" s="5"/>
      <c r="D1201" s="5"/>
    </row>
    <row r="1202" spans="3:4">
      <c r="C1202" s="5"/>
      <c r="D1202" s="5"/>
    </row>
    <row r="1203" spans="3:4">
      <c r="C1203" s="5"/>
      <c r="D1203" s="5"/>
    </row>
    <row r="1204" spans="3:4">
      <c r="C1204" s="5"/>
      <c r="D1204" s="5"/>
    </row>
    <row r="1205" spans="3:4">
      <c r="C1205" s="5"/>
      <c r="D1205" s="5"/>
    </row>
    <row r="1206" spans="3:4">
      <c r="C1206" s="5"/>
      <c r="D1206" s="5"/>
    </row>
    <row r="1207" spans="3:4">
      <c r="C1207" s="5"/>
      <c r="D1207" s="5"/>
    </row>
    <row r="1208" spans="3:4">
      <c r="C1208" s="5"/>
      <c r="D1208" s="5"/>
    </row>
    <row r="1209" spans="3:4">
      <c r="C1209" s="5"/>
      <c r="D1209" s="5"/>
    </row>
    <row r="1210" spans="3:4">
      <c r="C1210" s="5"/>
      <c r="D1210" s="5"/>
    </row>
    <row r="1211" spans="3:4">
      <c r="C1211" s="5"/>
      <c r="D1211" s="5"/>
    </row>
    <row r="1212" spans="3:4">
      <c r="C1212" s="5"/>
      <c r="D1212" s="5"/>
    </row>
    <row r="1213" spans="3:4">
      <c r="C1213" s="5"/>
      <c r="D1213" s="5"/>
    </row>
    <row r="1214" spans="3:4">
      <c r="C1214" s="5"/>
      <c r="D1214" s="5"/>
    </row>
    <row r="1215" spans="3:4">
      <c r="C1215" s="5"/>
      <c r="D1215" s="5"/>
    </row>
    <row r="1216" spans="3:4">
      <c r="C1216" s="5"/>
      <c r="D1216" s="5"/>
    </row>
    <row r="1217" spans="3:4">
      <c r="C1217" s="5"/>
      <c r="D1217" s="5"/>
    </row>
    <row r="1218" spans="3:4">
      <c r="C1218" s="5"/>
      <c r="D1218" s="5"/>
    </row>
    <row r="1219" spans="3:4">
      <c r="C1219" s="5"/>
      <c r="D1219" s="5"/>
    </row>
    <row r="1220" spans="3:4">
      <c r="C1220" s="5"/>
      <c r="D1220" s="5"/>
    </row>
    <row r="1221" spans="3:4">
      <c r="C1221" s="5"/>
      <c r="D1221" s="5"/>
    </row>
    <row r="1222" spans="3:4">
      <c r="C1222" s="5"/>
      <c r="D1222" s="5"/>
    </row>
    <row r="1223" spans="3:4">
      <c r="C1223" s="5"/>
      <c r="D1223" s="5"/>
    </row>
    <row r="1224" spans="3:4">
      <c r="C1224" s="5"/>
      <c r="D1224" s="5"/>
    </row>
    <row r="1225" spans="3:4">
      <c r="C1225" s="5"/>
      <c r="D1225" s="5"/>
    </row>
    <row r="1226" spans="3:4">
      <c r="C1226" s="5"/>
      <c r="D1226" s="5"/>
    </row>
    <row r="1227" spans="3:4">
      <c r="C1227" s="5"/>
      <c r="D1227" s="5"/>
    </row>
    <row r="1228" spans="3:4">
      <c r="C1228" s="5"/>
      <c r="D1228" s="5"/>
    </row>
    <row r="1229" spans="3:4">
      <c r="C1229" s="5"/>
      <c r="D1229" s="5"/>
    </row>
    <row r="1230" spans="3:4">
      <c r="C1230" s="5"/>
      <c r="D1230" s="5"/>
    </row>
    <row r="1231" spans="3:4">
      <c r="C1231" s="5"/>
      <c r="D1231" s="5"/>
    </row>
    <row r="1232" spans="3:4">
      <c r="C1232" s="5"/>
      <c r="D1232" s="5"/>
    </row>
    <row r="1233" spans="3:4">
      <c r="C1233" s="5"/>
      <c r="D1233" s="5"/>
    </row>
    <row r="1234" spans="3:4">
      <c r="C1234" s="5"/>
      <c r="D1234" s="5"/>
    </row>
    <row r="1235" spans="3:4">
      <c r="C1235" s="5"/>
      <c r="D1235" s="5"/>
    </row>
    <row r="1236" spans="3:4">
      <c r="C1236" s="5"/>
      <c r="D1236" s="5"/>
    </row>
    <row r="1237" spans="3:4">
      <c r="C1237" s="5"/>
      <c r="D1237" s="5"/>
    </row>
    <row r="1238" spans="3:4">
      <c r="C1238" s="5"/>
      <c r="D1238" s="5"/>
    </row>
    <row r="1239" spans="3:4">
      <c r="C1239" s="5"/>
      <c r="D1239" s="5"/>
    </row>
    <row r="1240" spans="3:4">
      <c r="C1240" s="5"/>
      <c r="D1240" s="5"/>
    </row>
    <row r="1241" spans="3:4">
      <c r="C1241" s="5"/>
      <c r="D1241" s="5"/>
    </row>
    <row r="1242" spans="3:4">
      <c r="C1242" s="5"/>
      <c r="D1242" s="5"/>
    </row>
    <row r="1243" spans="3:4">
      <c r="C1243" s="5"/>
      <c r="D1243" s="5"/>
    </row>
    <row r="1244" spans="3:4">
      <c r="C1244" s="5"/>
      <c r="D1244" s="5"/>
    </row>
    <row r="1245" spans="3:4">
      <c r="C1245" s="5"/>
      <c r="D1245" s="5"/>
    </row>
    <row r="1246" spans="3:4">
      <c r="C1246" s="5"/>
      <c r="D1246" s="5"/>
    </row>
    <row r="1247" spans="3:4">
      <c r="C1247" s="5"/>
      <c r="D1247" s="5"/>
    </row>
    <row r="1248" spans="3:4">
      <c r="C1248" s="5"/>
      <c r="D1248" s="5"/>
    </row>
    <row r="1249" spans="3:4">
      <c r="C1249" s="5"/>
      <c r="D1249" s="5"/>
    </row>
    <row r="1250" spans="3:4">
      <c r="C1250" s="5"/>
      <c r="D1250" s="5"/>
    </row>
    <row r="1251" spans="3:4">
      <c r="C1251" s="5"/>
      <c r="D1251" s="5"/>
    </row>
    <row r="1252" spans="3:4">
      <c r="C1252" s="5"/>
      <c r="D1252" s="5"/>
    </row>
    <row r="1253" spans="3:4">
      <c r="C1253" s="5"/>
      <c r="D1253" s="5"/>
    </row>
    <row r="1254" spans="3:4">
      <c r="C1254" s="5"/>
      <c r="D1254" s="5"/>
    </row>
    <row r="1255" spans="3:4">
      <c r="C1255" s="5"/>
      <c r="D1255" s="5"/>
    </row>
    <row r="1256" spans="3:4">
      <c r="C1256" s="5"/>
      <c r="D1256" s="5"/>
    </row>
    <row r="1257" spans="3:4">
      <c r="C1257" s="5"/>
      <c r="D1257" s="5"/>
    </row>
    <row r="1258" spans="3:4">
      <c r="C1258" s="5"/>
      <c r="D1258" s="5"/>
    </row>
    <row r="1259" spans="3:4">
      <c r="C1259" s="5"/>
      <c r="D1259" s="5"/>
    </row>
    <row r="1260" spans="3:4">
      <c r="C1260" s="5"/>
      <c r="D1260" s="5"/>
    </row>
    <row r="1261" spans="3:4">
      <c r="C1261" s="5"/>
      <c r="D1261" s="5"/>
    </row>
    <row r="1262" spans="3:4">
      <c r="C1262" s="5"/>
      <c r="D1262" s="5"/>
    </row>
    <row r="1263" spans="3:4">
      <c r="C1263" s="5"/>
      <c r="D1263" s="5"/>
    </row>
    <row r="1264" spans="3:4">
      <c r="C1264" s="5"/>
      <c r="D1264" s="5"/>
    </row>
    <row r="1265" spans="3:4">
      <c r="C1265" s="5"/>
      <c r="D1265" s="5"/>
    </row>
    <row r="1266" spans="3:4">
      <c r="C1266" s="5"/>
      <c r="D1266" s="5"/>
    </row>
    <row r="1267" spans="3:4">
      <c r="C1267" s="5"/>
      <c r="D1267" s="5"/>
    </row>
    <row r="1268" spans="3:4">
      <c r="C1268" s="5"/>
      <c r="D1268" s="5"/>
    </row>
    <row r="1269" spans="3:4">
      <c r="C1269" s="5"/>
      <c r="D1269" s="5"/>
    </row>
    <row r="1270" spans="3:4">
      <c r="C1270" s="5"/>
      <c r="D1270" s="5"/>
    </row>
    <row r="1271" spans="3:4">
      <c r="C1271" s="5"/>
      <c r="D1271" s="5"/>
    </row>
    <row r="1272" spans="3:4">
      <c r="C1272" s="5"/>
      <c r="D1272" s="5"/>
    </row>
    <row r="1273" spans="3:4">
      <c r="C1273" s="5"/>
      <c r="D1273" s="5"/>
    </row>
    <row r="1274" spans="3:4">
      <c r="C1274" s="5"/>
      <c r="D1274" s="5"/>
    </row>
    <row r="1275" spans="3:4">
      <c r="C1275" s="5"/>
      <c r="D1275" s="5"/>
    </row>
    <row r="1276" spans="3:4">
      <c r="C1276" s="5"/>
      <c r="D1276" s="5"/>
    </row>
    <row r="1277" spans="3:4">
      <c r="C1277" s="5"/>
      <c r="D1277" s="5"/>
    </row>
    <row r="1278" spans="3:4">
      <c r="C1278" s="5"/>
      <c r="D1278" s="5"/>
    </row>
    <row r="1279" spans="3:4">
      <c r="C1279" s="5"/>
      <c r="D1279" s="5"/>
    </row>
    <row r="1280" spans="3:4">
      <c r="C1280" s="5"/>
      <c r="D1280" s="5"/>
    </row>
    <row r="1281" spans="3:4">
      <c r="C1281" s="5"/>
      <c r="D1281" s="5"/>
    </row>
    <row r="1282" spans="3:4">
      <c r="C1282" s="5"/>
      <c r="D1282" s="5"/>
    </row>
    <row r="1283" spans="3:4">
      <c r="C1283" s="5"/>
      <c r="D1283" s="5"/>
    </row>
    <row r="1284" spans="3:4">
      <c r="C1284" s="5"/>
      <c r="D1284" s="5"/>
    </row>
    <row r="1285" spans="3:4">
      <c r="C1285" s="5"/>
      <c r="D1285" s="5"/>
    </row>
    <row r="1286" spans="3:4">
      <c r="C1286" s="5"/>
      <c r="D1286" s="5"/>
    </row>
    <row r="1287" spans="3:4">
      <c r="C1287" s="5"/>
      <c r="D1287" s="5"/>
    </row>
    <row r="1288" spans="3:4">
      <c r="C1288" s="5"/>
      <c r="D1288" s="5"/>
    </row>
    <row r="1289" spans="3:4">
      <c r="C1289" s="5"/>
      <c r="D1289" s="5"/>
    </row>
    <row r="1290" spans="3:4">
      <c r="C1290" s="5"/>
      <c r="D1290" s="5"/>
    </row>
    <row r="1291" spans="3:4">
      <c r="C1291" s="5"/>
      <c r="D1291" s="5"/>
    </row>
    <row r="1292" spans="3:4">
      <c r="C1292" s="5"/>
      <c r="D1292" s="5"/>
    </row>
    <row r="1293" spans="3:4">
      <c r="C1293" s="5"/>
      <c r="D1293" s="5"/>
    </row>
    <row r="1294" spans="3:4">
      <c r="C1294" s="5"/>
      <c r="D1294" s="5"/>
    </row>
    <row r="1295" spans="3:4">
      <c r="C1295" s="5"/>
      <c r="D1295" s="5"/>
    </row>
    <row r="1296" spans="3:4">
      <c r="C1296" s="5"/>
      <c r="D1296" s="5"/>
    </row>
    <row r="1297" spans="3:4">
      <c r="C1297" s="5"/>
      <c r="D1297" s="5"/>
    </row>
    <row r="1298" spans="3:4">
      <c r="C1298" s="5"/>
      <c r="D1298" s="5"/>
    </row>
    <row r="1299" spans="3:4">
      <c r="C1299" s="5"/>
      <c r="D1299" s="5"/>
    </row>
    <row r="1300" spans="3:4">
      <c r="C1300" s="5"/>
      <c r="D1300" s="5"/>
    </row>
    <row r="1301" spans="3:4">
      <c r="C1301" s="5"/>
      <c r="D1301" s="5"/>
    </row>
    <row r="1302" spans="3:4">
      <c r="C1302" s="5"/>
      <c r="D1302" s="5"/>
    </row>
    <row r="1303" spans="3:4">
      <c r="C1303" s="5"/>
      <c r="D1303" s="5"/>
    </row>
    <row r="1304" spans="3:4">
      <c r="C1304" s="5"/>
      <c r="D1304" s="5"/>
    </row>
    <row r="1305" spans="3:4">
      <c r="C1305" s="5"/>
      <c r="D1305" s="5"/>
    </row>
    <row r="1306" spans="3:4">
      <c r="C1306" s="5"/>
      <c r="D1306" s="5"/>
    </row>
    <row r="1307" spans="3:4">
      <c r="C1307" s="5"/>
      <c r="D1307" s="5"/>
    </row>
    <row r="1308" spans="3:4">
      <c r="C1308" s="5"/>
      <c r="D1308" s="5"/>
    </row>
    <row r="1309" spans="3:4">
      <c r="C1309" s="5"/>
      <c r="D1309" s="5"/>
    </row>
    <row r="1310" spans="3:4">
      <c r="C1310" s="5"/>
      <c r="D1310" s="5"/>
    </row>
    <row r="1311" spans="3:4">
      <c r="C1311" s="5"/>
      <c r="D1311" s="5"/>
    </row>
    <row r="1312" spans="3:4">
      <c r="C1312" s="5"/>
      <c r="D1312" s="5"/>
    </row>
    <row r="1313" spans="3:4">
      <c r="C1313" s="5"/>
      <c r="D1313" s="5"/>
    </row>
    <row r="1314" spans="3:4">
      <c r="C1314" s="5"/>
      <c r="D1314" s="5"/>
    </row>
    <row r="1315" spans="3:4">
      <c r="C1315" s="5"/>
      <c r="D1315" s="5"/>
    </row>
    <row r="1316" spans="3:4">
      <c r="C1316" s="5"/>
      <c r="D1316" s="5"/>
    </row>
    <row r="1317" spans="3:4">
      <c r="C1317" s="5"/>
      <c r="D1317" s="5"/>
    </row>
    <row r="1318" spans="3:4">
      <c r="C1318" s="5"/>
      <c r="D1318" s="5"/>
    </row>
    <row r="1319" spans="3:4">
      <c r="C1319" s="5"/>
      <c r="D1319" s="5"/>
    </row>
    <row r="1320" spans="3:4">
      <c r="C1320" s="5"/>
      <c r="D1320" s="5"/>
    </row>
    <row r="1321" spans="3:4">
      <c r="C1321" s="5"/>
      <c r="D1321" s="5"/>
    </row>
    <row r="1322" spans="3:4">
      <c r="C1322" s="5"/>
      <c r="D1322" s="5"/>
    </row>
    <row r="1323" spans="3:4">
      <c r="C1323" s="5"/>
      <c r="D1323" s="5"/>
    </row>
    <row r="1324" spans="3:4">
      <c r="C1324" s="5"/>
      <c r="D1324" s="5"/>
    </row>
    <row r="1325" spans="3:4">
      <c r="C1325" s="5"/>
      <c r="D1325" s="5"/>
    </row>
    <row r="1326" spans="3:4">
      <c r="C1326" s="5"/>
      <c r="D1326" s="5"/>
    </row>
    <row r="1327" spans="3:4">
      <c r="C1327" s="5"/>
      <c r="D1327" s="5"/>
    </row>
    <row r="1328" spans="3:4">
      <c r="C1328" s="5"/>
      <c r="D1328" s="5"/>
    </row>
    <row r="1329" spans="3:4">
      <c r="C1329" s="5"/>
      <c r="D1329" s="5"/>
    </row>
    <row r="1330" spans="3:4">
      <c r="C1330" s="5"/>
      <c r="D1330" s="5"/>
    </row>
    <row r="1331" spans="3:4">
      <c r="C1331" s="5"/>
      <c r="D1331" s="5"/>
    </row>
    <row r="1332" spans="3:4">
      <c r="C1332" s="5"/>
      <c r="D1332" s="5"/>
    </row>
    <row r="1333" spans="3:4">
      <c r="C1333" s="5"/>
      <c r="D1333" s="5"/>
    </row>
    <row r="1334" spans="3:4">
      <c r="C1334" s="5"/>
      <c r="D1334" s="5"/>
    </row>
    <row r="1335" spans="3:4">
      <c r="C1335" s="5"/>
      <c r="D1335" s="5"/>
    </row>
    <row r="1336" spans="3:4">
      <c r="C1336" s="5"/>
      <c r="D1336" s="5"/>
    </row>
    <row r="1337" spans="3:4">
      <c r="C1337" s="5"/>
      <c r="D1337" s="5"/>
    </row>
    <row r="1338" spans="3:4">
      <c r="C1338" s="5"/>
      <c r="D1338" s="5"/>
    </row>
    <row r="1339" spans="3:4">
      <c r="C1339" s="5"/>
      <c r="D1339" s="5"/>
    </row>
    <row r="1340" spans="3:4">
      <c r="C1340" s="5"/>
      <c r="D1340" s="5"/>
    </row>
    <row r="1341" spans="3:4">
      <c r="C1341" s="5"/>
      <c r="D1341" s="5"/>
    </row>
    <row r="1342" spans="3:4">
      <c r="C1342" s="5"/>
      <c r="D1342" s="5"/>
    </row>
    <row r="1343" spans="3:4">
      <c r="C1343" s="5"/>
      <c r="D1343" s="5"/>
    </row>
    <row r="1344" spans="3:4">
      <c r="C1344" s="5"/>
      <c r="D1344" s="5"/>
    </row>
    <row r="1345" spans="3:4">
      <c r="C1345" s="5"/>
      <c r="D1345" s="5"/>
    </row>
    <row r="1346" spans="3:4">
      <c r="C1346" s="5"/>
      <c r="D1346" s="5"/>
    </row>
    <row r="1347" spans="3:4">
      <c r="C1347" s="5"/>
      <c r="D1347" s="5"/>
    </row>
    <row r="1348" spans="3:4">
      <c r="C1348" s="5"/>
      <c r="D1348" s="5"/>
    </row>
    <row r="1349" spans="3:4">
      <c r="C1349" s="5"/>
      <c r="D1349" s="5"/>
    </row>
    <row r="1350" spans="3:4">
      <c r="C1350" s="5"/>
      <c r="D1350" s="5"/>
    </row>
    <row r="1351" spans="3:4">
      <c r="C1351" s="5"/>
      <c r="D1351" s="5"/>
    </row>
    <row r="1352" spans="3:4">
      <c r="C1352" s="5"/>
      <c r="D1352" s="5"/>
    </row>
    <row r="1353" spans="3:4">
      <c r="C1353" s="5"/>
      <c r="D1353" s="5"/>
    </row>
    <row r="1354" spans="3:4">
      <c r="C1354" s="5"/>
      <c r="D1354" s="5"/>
    </row>
    <row r="1355" spans="3:4">
      <c r="C1355" s="5"/>
      <c r="D1355" s="5"/>
    </row>
    <row r="1356" spans="3:4">
      <c r="C1356" s="5"/>
      <c r="D1356" s="5"/>
    </row>
    <row r="1357" spans="3:4">
      <c r="C1357" s="5"/>
      <c r="D1357" s="5"/>
    </row>
    <row r="1358" spans="3:4">
      <c r="C1358" s="5"/>
      <c r="D1358" s="5"/>
    </row>
    <row r="1359" spans="3:4">
      <c r="C1359" s="5"/>
      <c r="D1359" s="5"/>
    </row>
    <row r="1360" spans="3:4">
      <c r="C1360" s="5"/>
      <c r="D1360" s="5"/>
    </row>
    <row r="1361" spans="3:4">
      <c r="C1361" s="5"/>
      <c r="D1361" s="5"/>
    </row>
    <row r="1362" spans="3:4">
      <c r="C1362" s="5"/>
      <c r="D1362" s="5"/>
    </row>
    <row r="1363" spans="3:4">
      <c r="C1363" s="5"/>
      <c r="D1363" s="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Blad12"/>
  <dimension ref="A2:H1363"/>
  <sheetViews>
    <sheetView workbookViewId="0">
      <selection activeCell="D9" sqref="D9"/>
    </sheetView>
  </sheetViews>
  <sheetFormatPr defaultRowHeight="15"/>
  <cols>
    <col min="3" max="3" width="11.28515625" customWidth="1"/>
    <col min="4" max="4" width="12" bestFit="1" customWidth="1"/>
    <col min="5" max="5" width="6.85546875" customWidth="1"/>
    <col min="6" max="6" width="9.28515625" customWidth="1"/>
    <col min="7" max="7" width="5.140625" customWidth="1"/>
    <col min="8" max="8" width="15.42578125" bestFit="1" customWidth="1"/>
  </cols>
  <sheetData>
    <row r="2" spans="1:8" s="1" customFormat="1" ht="23.25">
      <c r="B2" s="1" t="s">
        <v>18</v>
      </c>
    </row>
    <row r="3" spans="1:8" s="1" customFormat="1" ht="23.25">
      <c r="B3" s="1" t="s">
        <v>3</v>
      </c>
    </row>
    <row r="4" spans="1:8" s="1" customFormat="1" ht="23.25">
      <c r="B4" s="1" t="s">
        <v>40</v>
      </c>
    </row>
    <row r="5" spans="1:8" s="1" customFormat="1" ht="23.25">
      <c r="B5" s="1" t="s">
        <v>9</v>
      </c>
    </row>
    <row r="7" spans="1:8">
      <c r="E7" s="28"/>
    </row>
    <row r="8" spans="1:8" ht="30.75" customHeight="1" thickBot="1">
      <c r="C8" s="4"/>
      <c r="D8" s="57">
        <v>731</v>
      </c>
    </row>
    <row r="9" spans="1:8" ht="37.5" customHeight="1" thickTop="1" thickBot="1">
      <c r="C9" s="15">
        <v>758</v>
      </c>
      <c r="E9" s="3"/>
      <c r="F9" s="17" t="s">
        <v>0</v>
      </c>
      <c r="G9" s="2"/>
      <c r="H9" s="61" t="e">
        <f>SUM(E12:E96)</f>
        <v>#NUM!</v>
      </c>
    </row>
    <row r="10" spans="1:8" s="58" customFormat="1" ht="30.75" customHeight="1" thickTop="1" thickBot="1"/>
    <row r="11" spans="1:8" s="59" customFormat="1" ht="30.75" customHeight="1" thickTop="1"/>
    <row r="12" spans="1:8">
      <c r="A12">
        <f>fast_exp_zonder_b</f>
        <v>731</v>
      </c>
      <c r="B12" t="str">
        <f>IF(ISEVEN(A12),"kwadraat","maal")</f>
        <v>maal</v>
      </c>
      <c r="C12" s="5">
        <f>IF(A12=1,fast_exp_zonder_a,0)</f>
        <v>0</v>
      </c>
      <c r="D12">
        <f>fast_exp_zonder_a</f>
        <v>758</v>
      </c>
      <c r="E12">
        <f>IF(A12=1,D12,0)</f>
        <v>0</v>
      </c>
      <c r="H12">
        <f>MOD(D12,17)</f>
        <v>10</v>
      </c>
    </row>
    <row r="13" spans="1:8">
      <c r="A13">
        <f>IF(ISEVEN(A12),A12/2,A12-1)</f>
        <v>730</v>
      </c>
      <c r="B13" t="str">
        <f t="shared" ref="B13:B76" si="0">IF(ISEVEN(A13),"kwadraat","maal")</f>
        <v>kwadraat</v>
      </c>
      <c r="C13" s="5">
        <f>IF(A13=1,fast_exp_zonder_a,0)</f>
        <v>0</v>
      </c>
      <c r="D13">
        <f t="shared" ref="D13:D44" si="1">IF(B13="kwadraat",D12*D12,D12*fast_exp_zonder_a)</f>
        <v>574564</v>
      </c>
      <c r="E13">
        <f t="shared" ref="E13:E76" si="2">IF(A13=1,D13,0)</f>
        <v>0</v>
      </c>
      <c r="H13">
        <f t="shared" ref="H13:H15" si="3">MOD(D13,17)</f>
        <v>15</v>
      </c>
    </row>
    <row r="14" spans="1:8">
      <c r="A14">
        <f t="shared" ref="A14:A77" si="4">IF(ISEVEN(A13),A13/2,A13-1)</f>
        <v>365</v>
      </c>
      <c r="B14" t="str">
        <f t="shared" si="0"/>
        <v>maal</v>
      </c>
      <c r="C14" s="5">
        <f>IF(A14=1,fast_exp_zonder_a,0)</f>
        <v>0</v>
      </c>
      <c r="D14">
        <f t="shared" si="1"/>
        <v>435519512</v>
      </c>
      <c r="E14">
        <f t="shared" si="2"/>
        <v>0</v>
      </c>
      <c r="H14">
        <f t="shared" si="3"/>
        <v>14</v>
      </c>
    </row>
    <row r="15" spans="1:8">
      <c r="A15">
        <f t="shared" si="4"/>
        <v>364</v>
      </c>
      <c r="B15" t="str">
        <f t="shared" si="0"/>
        <v>kwadraat</v>
      </c>
      <c r="C15" s="5">
        <f t="shared" ref="C15:C75" si="5">IF(A15=1,fast_exp_a,0)</f>
        <v>0</v>
      </c>
      <c r="D15">
        <f t="shared" si="1"/>
        <v>1.8967724533271814E+17</v>
      </c>
      <c r="E15">
        <f t="shared" si="2"/>
        <v>0</v>
      </c>
      <c r="H15" t="e">
        <f t="shared" si="3"/>
        <v>#NUM!</v>
      </c>
    </row>
    <row r="16" spans="1:8">
      <c r="A16">
        <f t="shared" si="4"/>
        <v>182</v>
      </c>
      <c r="B16" t="str">
        <f t="shared" si="0"/>
        <v>kwadraat</v>
      </c>
      <c r="C16" s="5">
        <f t="shared" si="5"/>
        <v>0</v>
      </c>
      <c r="D16">
        <f t="shared" si="1"/>
        <v>3.5977457397008148E+34</v>
      </c>
      <c r="E16">
        <f t="shared" si="2"/>
        <v>0</v>
      </c>
    </row>
    <row r="17" spans="1:5">
      <c r="A17">
        <f t="shared" si="4"/>
        <v>91</v>
      </c>
      <c r="B17" t="str">
        <f t="shared" si="0"/>
        <v>maal</v>
      </c>
      <c r="C17" s="5">
        <f t="shared" si="5"/>
        <v>0</v>
      </c>
      <c r="D17">
        <f t="shared" si="1"/>
        <v>2.7270912706932178E+37</v>
      </c>
      <c r="E17">
        <f t="shared" si="2"/>
        <v>0</v>
      </c>
    </row>
    <row r="18" spans="1:5">
      <c r="A18">
        <f t="shared" si="4"/>
        <v>90</v>
      </c>
      <c r="B18" t="str">
        <f t="shared" si="0"/>
        <v>kwadraat</v>
      </c>
      <c r="C18" s="5">
        <f t="shared" si="5"/>
        <v>0</v>
      </c>
      <c r="D18">
        <f t="shared" si="1"/>
        <v>7.4370267986911488E+74</v>
      </c>
      <c r="E18">
        <f t="shared" si="2"/>
        <v>0</v>
      </c>
    </row>
    <row r="19" spans="1:5">
      <c r="A19">
        <f t="shared" si="4"/>
        <v>45</v>
      </c>
      <c r="B19" t="str">
        <f t="shared" si="0"/>
        <v>maal</v>
      </c>
      <c r="C19" s="5">
        <f t="shared" si="5"/>
        <v>0</v>
      </c>
      <c r="D19">
        <f t="shared" si="1"/>
        <v>5.637266313407891E+77</v>
      </c>
      <c r="E19">
        <f t="shared" si="2"/>
        <v>0</v>
      </c>
    </row>
    <row r="20" spans="1:5">
      <c r="A20">
        <f t="shared" si="4"/>
        <v>44</v>
      </c>
      <c r="B20" t="str">
        <f t="shared" si="0"/>
        <v>kwadraat</v>
      </c>
      <c r="C20" s="5">
        <f t="shared" si="5"/>
        <v>0</v>
      </c>
      <c r="D20">
        <f t="shared" si="1"/>
        <v>3.1778771488283392E+155</v>
      </c>
      <c r="E20">
        <f t="shared" si="2"/>
        <v>0</v>
      </c>
    </row>
    <row r="21" spans="1:5">
      <c r="A21">
        <f t="shared" si="4"/>
        <v>22</v>
      </c>
      <c r="B21" t="str">
        <f t="shared" si="0"/>
        <v>kwadraat</v>
      </c>
      <c r="C21" s="5">
        <f t="shared" si="5"/>
        <v>0</v>
      </c>
      <c r="D21" t="e">
        <f t="shared" si="1"/>
        <v>#NUM!</v>
      </c>
      <c r="E21">
        <f t="shared" si="2"/>
        <v>0</v>
      </c>
    </row>
    <row r="22" spans="1:5">
      <c r="A22">
        <f t="shared" si="4"/>
        <v>11</v>
      </c>
      <c r="B22" t="str">
        <f t="shared" si="0"/>
        <v>maal</v>
      </c>
      <c r="C22" s="5">
        <f t="shared" si="5"/>
        <v>0</v>
      </c>
      <c r="D22" t="e">
        <f t="shared" si="1"/>
        <v>#NUM!</v>
      </c>
      <c r="E22">
        <f t="shared" si="2"/>
        <v>0</v>
      </c>
    </row>
    <row r="23" spans="1:5">
      <c r="A23">
        <f t="shared" si="4"/>
        <v>10</v>
      </c>
      <c r="B23" t="str">
        <f t="shared" si="0"/>
        <v>kwadraat</v>
      </c>
      <c r="C23" s="5">
        <f t="shared" si="5"/>
        <v>0</v>
      </c>
      <c r="D23" t="e">
        <f t="shared" si="1"/>
        <v>#NUM!</v>
      </c>
      <c r="E23">
        <f t="shared" si="2"/>
        <v>0</v>
      </c>
    </row>
    <row r="24" spans="1:5">
      <c r="A24">
        <f t="shared" si="4"/>
        <v>5</v>
      </c>
      <c r="B24" t="str">
        <f t="shared" si="0"/>
        <v>maal</v>
      </c>
      <c r="C24" s="5">
        <f t="shared" si="5"/>
        <v>0</v>
      </c>
      <c r="D24" t="e">
        <f t="shared" si="1"/>
        <v>#NUM!</v>
      </c>
      <c r="E24">
        <f t="shared" si="2"/>
        <v>0</v>
      </c>
    </row>
    <row r="25" spans="1:5">
      <c r="A25">
        <f t="shared" si="4"/>
        <v>4</v>
      </c>
      <c r="B25" t="str">
        <f t="shared" si="0"/>
        <v>kwadraat</v>
      </c>
      <c r="C25" s="5">
        <f t="shared" si="5"/>
        <v>0</v>
      </c>
      <c r="D25" t="e">
        <f t="shared" si="1"/>
        <v>#NUM!</v>
      </c>
      <c r="E25">
        <f t="shared" si="2"/>
        <v>0</v>
      </c>
    </row>
    <row r="26" spans="1:5">
      <c r="A26">
        <f t="shared" si="4"/>
        <v>2</v>
      </c>
      <c r="B26" t="str">
        <f t="shared" si="0"/>
        <v>kwadraat</v>
      </c>
      <c r="C26" s="5">
        <f t="shared" si="5"/>
        <v>0</v>
      </c>
      <c r="D26" t="e">
        <f t="shared" si="1"/>
        <v>#NUM!</v>
      </c>
      <c r="E26">
        <f t="shared" si="2"/>
        <v>0</v>
      </c>
    </row>
    <row r="27" spans="1:5">
      <c r="A27">
        <f t="shared" si="4"/>
        <v>1</v>
      </c>
      <c r="B27" t="str">
        <f t="shared" si="0"/>
        <v>maal</v>
      </c>
      <c r="C27" s="5">
        <f t="shared" si="5"/>
        <v>3</v>
      </c>
      <c r="D27" t="e">
        <f t="shared" si="1"/>
        <v>#NUM!</v>
      </c>
      <c r="E27" t="e">
        <f t="shared" si="2"/>
        <v>#NUM!</v>
      </c>
    </row>
    <row r="28" spans="1:5">
      <c r="A28">
        <f t="shared" si="4"/>
        <v>0</v>
      </c>
      <c r="B28" t="str">
        <f t="shared" si="0"/>
        <v>kwadraat</v>
      </c>
      <c r="C28" s="5">
        <f t="shared" si="5"/>
        <v>0</v>
      </c>
      <c r="D28" t="e">
        <f t="shared" si="1"/>
        <v>#NUM!</v>
      </c>
      <c r="E28">
        <f t="shared" si="2"/>
        <v>0</v>
      </c>
    </row>
    <row r="29" spans="1:5">
      <c r="A29">
        <f t="shared" si="4"/>
        <v>0</v>
      </c>
      <c r="B29" t="str">
        <f t="shared" si="0"/>
        <v>kwadraat</v>
      </c>
      <c r="C29" s="5">
        <f t="shared" si="5"/>
        <v>0</v>
      </c>
      <c r="D29" t="e">
        <f t="shared" si="1"/>
        <v>#NUM!</v>
      </c>
      <c r="E29">
        <f t="shared" si="2"/>
        <v>0</v>
      </c>
    </row>
    <row r="30" spans="1:5">
      <c r="A30">
        <f t="shared" si="4"/>
        <v>0</v>
      </c>
      <c r="B30" t="str">
        <f t="shared" si="0"/>
        <v>kwadraat</v>
      </c>
      <c r="C30" s="5">
        <f t="shared" si="5"/>
        <v>0</v>
      </c>
      <c r="D30" t="e">
        <f t="shared" si="1"/>
        <v>#NUM!</v>
      </c>
      <c r="E30">
        <f t="shared" si="2"/>
        <v>0</v>
      </c>
    </row>
    <row r="31" spans="1:5">
      <c r="A31">
        <f t="shared" si="4"/>
        <v>0</v>
      </c>
      <c r="B31" t="str">
        <f t="shared" si="0"/>
        <v>kwadraat</v>
      </c>
      <c r="C31" s="5">
        <f t="shared" si="5"/>
        <v>0</v>
      </c>
      <c r="D31" t="e">
        <f t="shared" si="1"/>
        <v>#NUM!</v>
      </c>
      <c r="E31">
        <f t="shared" si="2"/>
        <v>0</v>
      </c>
    </row>
    <row r="32" spans="1:5">
      <c r="A32">
        <f t="shared" si="4"/>
        <v>0</v>
      </c>
      <c r="B32" t="str">
        <f t="shared" si="0"/>
        <v>kwadraat</v>
      </c>
      <c r="C32" s="5">
        <f t="shared" si="5"/>
        <v>0</v>
      </c>
      <c r="D32" t="e">
        <f t="shared" si="1"/>
        <v>#NUM!</v>
      </c>
      <c r="E32">
        <f t="shared" si="2"/>
        <v>0</v>
      </c>
    </row>
    <row r="33" spans="1:5">
      <c r="A33">
        <f t="shared" si="4"/>
        <v>0</v>
      </c>
      <c r="B33" t="str">
        <f t="shared" si="0"/>
        <v>kwadraat</v>
      </c>
      <c r="C33" s="5">
        <f t="shared" si="5"/>
        <v>0</v>
      </c>
      <c r="D33" t="e">
        <f t="shared" si="1"/>
        <v>#NUM!</v>
      </c>
      <c r="E33">
        <f t="shared" si="2"/>
        <v>0</v>
      </c>
    </row>
    <row r="34" spans="1:5">
      <c r="A34">
        <f t="shared" si="4"/>
        <v>0</v>
      </c>
      <c r="B34" t="str">
        <f t="shared" si="0"/>
        <v>kwadraat</v>
      </c>
      <c r="C34" s="5">
        <f t="shared" si="5"/>
        <v>0</v>
      </c>
      <c r="D34" t="e">
        <f t="shared" si="1"/>
        <v>#NUM!</v>
      </c>
      <c r="E34">
        <f t="shared" si="2"/>
        <v>0</v>
      </c>
    </row>
    <row r="35" spans="1:5">
      <c r="A35">
        <f t="shared" si="4"/>
        <v>0</v>
      </c>
      <c r="B35" t="str">
        <f t="shared" si="0"/>
        <v>kwadraat</v>
      </c>
      <c r="C35" s="5">
        <f t="shared" si="5"/>
        <v>0</v>
      </c>
      <c r="D35" t="e">
        <f t="shared" si="1"/>
        <v>#NUM!</v>
      </c>
      <c r="E35">
        <f t="shared" si="2"/>
        <v>0</v>
      </c>
    </row>
    <row r="36" spans="1:5">
      <c r="A36">
        <f t="shared" si="4"/>
        <v>0</v>
      </c>
      <c r="B36" t="str">
        <f t="shared" si="0"/>
        <v>kwadraat</v>
      </c>
      <c r="C36" s="5">
        <f t="shared" si="5"/>
        <v>0</v>
      </c>
      <c r="D36" t="e">
        <f t="shared" si="1"/>
        <v>#NUM!</v>
      </c>
      <c r="E36">
        <f t="shared" si="2"/>
        <v>0</v>
      </c>
    </row>
    <row r="37" spans="1:5">
      <c r="A37">
        <f t="shared" si="4"/>
        <v>0</v>
      </c>
      <c r="B37" t="str">
        <f t="shared" si="0"/>
        <v>kwadraat</v>
      </c>
      <c r="C37" s="5">
        <f t="shared" si="5"/>
        <v>0</v>
      </c>
      <c r="D37" t="e">
        <f t="shared" si="1"/>
        <v>#NUM!</v>
      </c>
      <c r="E37">
        <f t="shared" si="2"/>
        <v>0</v>
      </c>
    </row>
    <row r="38" spans="1:5">
      <c r="A38">
        <f t="shared" si="4"/>
        <v>0</v>
      </c>
      <c r="B38" t="str">
        <f t="shared" si="0"/>
        <v>kwadraat</v>
      </c>
      <c r="C38" s="5">
        <f t="shared" si="5"/>
        <v>0</v>
      </c>
      <c r="D38" t="e">
        <f t="shared" si="1"/>
        <v>#NUM!</v>
      </c>
      <c r="E38">
        <f t="shared" si="2"/>
        <v>0</v>
      </c>
    </row>
    <row r="39" spans="1:5">
      <c r="A39">
        <f t="shared" si="4"/>
        <v>0</v>
      </c>
      <c r="B39" t="str">
        <f t="shared" si="0"/>
        <v>kwadraat</v>
      </c>
      <c r="C39" s="5">
        <f t="shared" si="5"/>
        <v>0</v>
      </c>
      <c r="D39" t="e">
        <f t="shared" si="1"/>
        <v>#NUM!</v>
      </c>
      <c r="E39">
        <f t="shared" si="2"/>
        <v>0</v>
      </c>
    </row>
    <row r="40" spans="1:5">
      <c r="A40">
        <f t="shared" si="4"/>
        <v>0</v>
      </c>
      <c r="B40" t="str">
        <f t="shared" si="0"/>
        <v>kwadraat</v>
      </c>
      <c r="C40" s="5">
        <f t="shared" si="5"/>
        <v>0</v>
      </c>
      <c r="D40" t="e">
        <f t="shared" si="1"/>
        <v>#NUM!</v>
      </c>
      <c r="E40">
        <f t="shared" si="2"/>
        <v>0</v>
      </c>
    </row>
    <row r="41" spans="1:5">
      <c r="A41">
        <f t="shared" si="4"/>
        <v>0</v>
      </c>
      <c r="B41" t="str">
        <f t="shared" si="0"/>
        <v>kwadraat</v>
      </c>
      <c r="C41" s="5">
        <f t="shared" si="5"/>
        <v>0</v>
      </c>
      <c r="D41" t="e">
        <f t="shared" si="1"/>
        <v>#NUM!</v>
      </c>
      <c r="E41">
        <f t="shared" si="2"/>
        <v>0</v>
      </c>
    </row>
    <row r="42" spans="1:5">
      <c r="A42">
        <f t="shared" si="4"/>
        <v>0</v>
      </c>
      <c r="B42" t="str">
        <f t="shared" si="0"/>
        <v>kwadraat</v>
      </c>
      <c r="C42" s="5">
        <f t="shared" si="5"/>
        <v>0</v>
      </c>
      <c r="D42" t="e">
        <f t="shared" si="1"/>
        <v>#NUM!</v>
      </c>
      <c r="E42">
        <f t="shared" si="2"/>
        <v>0</v>
      </c>
    </row>
    <row r="43" spans="1:5">
      <c r="A43">
        <f t="shared" si="4"/>
        <v>0</v>
      </c>
      <c r="B43" t="str">
        <f t="shared" si="0"/>
        <v>kwadraat</v>
      </c>
      <c r="C43" s="5">
        <f t="shared" si="5"/>
        <v>0</v>
      </c>
      <c r="D43" t="e">
        <f t="shared" si="1"/>
        <v>#NUM!</v>
      </c>
      <c r="E43">
        <f t="shared" si="2"/>
        <v>0</v>
      </c>
    </row>
    <row r="44" spans="1:5">
      <c r="A44">
        <f t="shared" si="4"/>
        <v>0</v>
      </c>
      <c r="B44" t="str">
        <f t="shared" si="0"/>
        <v>kwadraat</v>
      </c>
      <c r="C44" s="5">
        <f t="shared" si="5"/>
        <v>0</v>
      </c>
      <c r="D44" t="e">
        <f t="shared" si="1"/>
        <v>#NUM!</v>
      </c>
      <c r="E44">
        <f t="shared" si="2"/>
        <v>0</v>
      </c>
    </row>
    <row r="45" spans="1:5">
      <c r="A45">
        <f t="shared" si="4"/>
        <v>0</v>
      </c>
      <c r="B45" t="str">
        <f t="shared" si="0"/>
        <v>kwadraat</v>
      </c>
      <c r="C45" s="5">
        <f t="shared" si="5"/>
        <v>0</v>
      </c>
      <c r="D45" t="e">
        <f t="shared" ref="D45:D76" si="6">IF(B45="kwadraat",D44*D44,D44*fast_exp_zonder_a)</f>
        <v>#NUM!</v>
      </c>
      <c r="E45">
        <f t="shared" si="2"/>
        <v>0</v>
      </c>
    </row>
    <row r="46" spans="1:5">
      <c r="A46">
        <f t="shared" si="4"/>
        <v>0</v>
      </c>
      <c r="B46" t="str">
        <f t="shared" si="0"/>
        <v>kwadraat</v>
      </c>
      <c r="C46" s="5">
        <f t="shared" si="5"/>
        <v>0</v>
      </c>
      <c r="D46" t="e">
        <f t="shared" si="6"/>
        <v>#NUM!</v>
      </c>
      <c r="E46">
        <f t="shared" si="2"/>
        <v>0</v>
      </c>
    </row>
    <row r="47" spans="1:5">
      <c r="A47">
        <f t="shared" si="4"/>
        <v>0</v>
      </c>
      <c r="B47" t="str">
        <f t="shared" si="0"/>
        <v>kwadraat</v>
      </c>
      <c r="C47" s="5">
        <f t="shared" si="5"/>
        <v>0</v>
      </c>
      <c r="D47" t="e">
        <f t="shared" si="6"/>
        <v>#NUM!</v>
      </c>
      <c r="E47">
        <f t="shared" si="2"/>
        <v>0</v>
      </c>
    </row>
    <row r="48" spans="1:5">
      <c r="A48">
        <f t="shared" si="4"/>
        <v>0</v>
      </c>
      <c r="B48" t="str">
        <f t="shared" si="0"/>
        <v>kwadraat</v>
      </c>
      <c r="C48" s="5">
        <f t="shared" si="5"/>
        <v>0</v>
      </c>
      <c r="D48" t="e">
        <f t="shared" si="6"/>
        <v>#NUM!</v>
      </c>
      <c r="E48">
        <f t="shared" si="2"/>
        <v>0</v>
      </c>
    </row>
    <row r="49" spans="1:5">
      <c r="A49">
        <f t="shared" si="4"/>
        <v>0</v>
      </c>
      <c r="B49" t="str">
        <f t="shared" si="0"/>
        <v>kwadraat</v>
      </c>
      <c r="C49" s="5">
        <f t="shared" si="5"/>
        <v>0</v>
      </c>
      <c r="D49" t="e">
        <f t="shared" si="6"/>
        <v>#NUM!</v>
      </c>
      <c r="E49">
        <f t="shared" si="2"/>
        <v>0</v>
      </c>
    </row>
    <row r="50" spans="1:5">
      <c r="A50">
        <f t="shared" si="4"/>
        <v>0</v>
      </c>
      <c r="B50" t="str">
        <f t="shared" si="0"/>
        <v>kwadraat</v>
      </c>
      <c r="C50" s="5">
        <f t="shared" si="5"/>
        <v>0</v>
      </c>
      <c r="D50" t="e">
        <f t="shared" si="6"/>
        <v>#NUM!</v>
      </c>
      <c r="E50">
        <f t="shared" si="2"/>
        <v>0</v>
      </c>
    </row>
    <row r="51" spans="1:5">
      <c r="A51">
        <f t="shared" si="4"/>
        <v>0</v>
      </c>
      <c r="B51" t="str">
        <f t="shared" si="0"/>
        <v>kwadraat</v>
      </c>
      <c r="C51" s="5">
        <f t="shared" si="5"/>
        <v>0</v>
      </c>
      <c r="D51" t="e">
        <f t="shared" si="6"/>
        <v>#NUM!</v>
      </c>
      <c r="E51">
        <f t="shared" si="2"/>
        <v>0</v>
      </c>
    </row>
    <row r="52" spans="1:5">
      <c r="A52">
        <f t="shared" si="4"/>
        <v>0</v>
      </c>
      <c r="B52" t="str">
        <f t="shared" si="0"/>
        <v>kwadraat</v>
      </c>
      <c r="C52" s="5">
        <f t="shared" si="5"/>
        <v>0</v>
      </c>
      <c r="D52" t="e">
        <f t="shared" si="6"/>
        <v>#NUM!</v>
      </c>
      <c r="E52">
        <f t="shared" si="2"/>
        <v>0</v>
      </c>
    </row>
    <row r="53" spans="1:5">
      <c r="A53">
        <f t="shared" si="4"/>
        <v>0</v>
      </c>
      <c r="B53" t="str">
        <f t="shared" si="0"/>
        <v>kwadraat</v>
      </c>
      <c r="C53" s="5">
        <f t="shared" si="5"/>
        <v>0</v>
      </c>
      <c r="D53" t="e">
        <f t="shared" si="6"/>
        <v>#NUM!</v>
      </c>
      <c r="E53">
        <f t="shared" si="2"/>
        <v>0</v>
      </c>
    </row>
    <row r="54" spans="1:5">
      <c r="A54">
        <f t="shared" si="4"/>
        <v>0</v>
      </c>
      <c r="B54" t="str">
        <f t="shared" si="0"/>
        <v>kwadraat</v>
      </c>
      <c r="C54" s="5">
        <f t="shared" si="5"/>
        <v>0</v>
      </c>
      <c r="D54" t="e">
        <f t="shared" si="6"/>
        <v>#NUM!</v>
      </c>
      <c r="E54">
        <f t="shared" si="2"/>
        <v>0</v>
      </c>
    </row>
    <row r="55" spans="1:5">
      <c r="A55">
        <f t="shared" si="4"/>
        <v>0</v>
      </c>
      <c r="B55" t="str">
        <f t="shared" si="0"/>
        <v>kwadraat</v>
      </c>
      <c r="C55" s="5">
        <f t="shared" si="5"/>
        <v>0</v>
      </c>
      <c r="D55" t="e">
        <f t="shared" si="6"/>
        <v>#NUM!</v>
      </c>
      <c r="E55">
        <f t="shared" si="2"/>
        <v>0</v>
      </c>
    </row>
    <row r="56" spans="1:5">
      <c r="A56">
        <f t="shared" si="4"/>
        <v>0</v>
      </c>
      <c r="B56" t="str">
        <f t="shared" si="0"/>
        <v>kwadraat</v>
      </c>
      <c r="C56" s="5">
        <f t="shared" si="5"/>
        <v>0</v>
      </c>
      <c r="D56" t="e">
        <f t="shared" si="6"/>
        <v>#NUM!</v>
      </c>
      <c r="E56">
        <f t="shared" si="2"/>
        <v>0</v>
      </c>
    </row>
    <row r="57" spans="1:5">
      <c r="A57">
        <f t="shared" si="4"/>
        <v>0</v>
      </c>
      <c r="B57" t="str">
        <f t="shared" si="0"/>
        <v>kwadraat</v>
      </c>
      <c r="C57" s="5">
        <f t="shared" si="5"/>
        <v>0</v>
      </c>
      <c r="D57" t="e">
        <f t="shared" si="6"/>
        <v>#NUM!</v>
      </c>
      <c r="E57">
        <f t="shared" si="2"/>
        <v>0</v>
      </c>
    </row>
    <row r="58" spans="1:5">
      <c r="A58">
        <f t="shared" si="4"/>
        <v>0</v>
      </c>
      <c r="B58" t="str">
        <f t="shared" si="0"/>
        <v>kwadraat</v>
      </c>
      <c r="C58" s="5">
        <f t="shared" si="5"/>
        <v>0</v>
      </c>
      <c r="D58" t="e">
        <f t="shared" si="6"/>
        <v>#NUM!</v>
      </c>
      <c r="E58">
        <f t="shared" si="2"/>
        <v>0</v>
      </c>
    </row>
    <row r="59" spans="1:5">
      <c r="A59">
        <f t="shared" si="4"/>
        <v>0</v>
      </c>
      <c r="B59" t="str">
        <f t="shared" si="0"/>
        <v>kwadraat</v>
      </c>
      <c r="C59" s="5">
        <f t="shared" si="5"/>
        <v>0</v>
      </c>
      <c r="D59" t="e">
        <f t="shared" si="6"/>
        <v>#NUM!</v>
      </c>
      <c r="E59">
        <f t="shared" si="2"/>
        <v>0</v>
      </c>
    </row>
    <row r="60" spans="1:5">
      <c r="A60">
        <f t="shared" si="4"/>
        <v>0</v>
      </c>
      <c r="B60" t="str">
        <f t="shared" si="0"/>
        <v>kwadraat</v>
      </c>
      <c r="C60" s="5">
        <f t="shared" si="5"/>
        <v>0</v>
      </c>
      <c r="D60" t="e">
        <f t="shared" si="6"/>
        <v>#NUM!</v>
      </c>
      <c r="E60">
        <f t="shared" si="2"/>
        <v>0</v>
      </c>
    </row>
    <row r="61" spans="1:5">
      <c r="A61">
        <f t="shared" si="4"/>
        <v>0</v>
      </c>
      <c r="B61" t="str">
        <f t="shared" si="0"/>
        <v>kwadraat</v>
      </c>
      <c r="C61" s="5">
        <f t="shared" si="5"/>
        <v>0</v>
      </c>
      <c r="D61" t="e">
        <f t="shared" si="6"/>
        <v>#NUM!</v>
      </c>
      <c r="E61">
        <f t="shared" si="2"/>
        <v>0</v>
      </c>
    </row>
    <row r="62" spans="1:5">
      <c r="A62">
        <f t="shared" si="4"/>
        <v>0</v>
      </c>
      <c r="B62" t="str">
        <f t="shared" si="0"/>
        <v>kwadraat</v>
      </c>
      <c r="C62" s="5">
        <f t="shared" si="5"/>
        <v>0</v>
      </c>
      <c r="D62" t="e">
        <f t="shared" si="6"/>
        <v>#NUM!</v>
      </c>
      <c r="E62">
        <f t="shared" si="2"/>
        <v>0</v>
      </c>
    </row>
    <row r="63" spans="1:5">
      <c r="A63">
        <f t="shared" si="4"/>
        <v>0</v>
      </c>
      <c r="B63" t="str">
        <f t="shared" si="0"/>
        <v>kwadraat</v>
      </c>
      <c r="C63" s="5">
        <f t="shared" si="5"/>
        <v>0</v>
      </c>
      <c r="D63" t="e">
        <f t="shared" si="6"/>
        <v>#NUM!</v>
      </c>
      <c r="E63">
        <f t="shared" si="2"/>
        <v>0</v>
      </c>
    </row>
    <row r="64" spans="1:5">
      <c r="A64">
        <f t="shared" si="4"/>
        <v>0</v>
      </c>
      <c r="B64" t="str">
        <f t="shared" si="0"/>
        <v>kwadraat</v>
      </c>
      <c r="C64" s="5">
        <f t="shared" si="5"/>
        <v>0</v>
      </c>
      <c r="D64" t="e">
        <f t="shared" si="6"/>
        <v>#NUM!</v>
      </c>
      <c r="E64">
        <f t="shared" si="2"/>
        <v>0</v>
      </c>
    </row>
    <row r="65" spans="1:5">
      <c r="A65">
        <f t="shared" si="4"/>
        <v>0</v>
      </c>
      <c r="B65" t="str">
        <f t="shared" si="0"/>
        <v>kwadraat</v>
      </c>
      <c r="C65" s="5">
        <f t="shared" si="5"/>
        <v>0</v>
      </c>
      <c r="D65" t="e">
        <f t="shared" si="6"/>
        <v>#NUM!</v>
      </c>
      <c r="E65">
        <f t="shared" si="2"/>
        <v>0</v>
      </c>
    </row>
    <row r="66" spans="1:5">
      <c r="A66">
        <f t="shared" si="4"/>
        <v>0</v>
      </c>
      <c r="B66" t="str">
        <f t="shared" si="0"/>
        <v>kwadraat</v>
      </c>
      <c r="C66" s="5">
        <f t="shared" si="5"/>
        <v>0</v>
      </c>
      <c r="D66" t="e">
        <f t="shared" si="6"/>
        <v>#NUM!</v>
      </c>
      <c r="E66">
        <f t="shared" si="2"/>
        <v>0</v>
      </c>
    </row>
    <row r="67" spans="1:5">
      <c r="A67">
        <f t="shared" si="4"/>
        <v>0</v>
      </c>
      <c r="B67" t="str">
        <f t="shared" si="0"/>
        <v>kwadraat</v>
      </c>
      <c r="C67" s="5">
        <f t="shared" si="5"/>
        <v>0</v>
      </c>
      <c r="D67" t="e">
        <f t="shared" si="6"/>
        <v>#NUM!</v>
      </c>
      <c r="E67">
        <f t="shared" si="2"/>
        <v>0</v>
      </c>
    </row>
    <row r="68" spans="1:5">
      <c r="A68">
        <f t="shared" si="4"/>
        <v>0</v>
      </c>
      <c r="B68" t="str">
        <f t="shared" si="0"/>
        <v>kwadraat</v>
      </c>
      <c r="C68" s="5">
        <f t="shared" si="5"/>
        <v>0</v>
      </c>
      <c r="D68" t="e">
        <f t="shared" si="6"/>
        <v>#NUM!</v>
      </c>
      <c r="E68">
        <f t="shared" si="2"/>
        <v>0</v>
      </c>
    </row>
    <row r="69" spans="1:5">
      <c r="A69">
        <f t="shared" si="4"/>
        <v>0</v>
      </c>
      <c r="B69" t="str">
        <f t="shared" si="0"/>
        <v>kwadraat</v>
      </c>
      <c r="C69" s="5">
        <f t="shared" si="5"/>
        <v>0</v>
      </c>
      <c r="D69" t="e">
        <f t="shared" si="6"/>
        <v>#NUM!</v>
      </c>
      <c r="E69">
        <f t="shared" si="2"/>
        <v>0</v>
      </c>
    </row>
    <row r="70" spans="1:5">
      <c r="A70">
        <f t="shared" si="4"/>
        <v>0</v>
      </c>
      <c r="B70" t="str">
        <f t="shared" si="0"/>
        <v>kwadraat</v>
      </c>
      <c r="C70" s="5">
        <f t="shared" si="5"/>
        <v>0</v>
      </c>
      <c r="D70" t="e">
        <f t="shared" si="6"/>
        <v>#NUM!</v>
      </c>
      <c r="E70">
        <f t="shared" si="2"/>
        <v>0</v>
      </c>
    </row>
    <row r="71" spans="1:5">
      <c r="A71">
        <f t="shared" si="4"/>
        <v>0</v>
      </c>
      <c r="B71" t="str">
        <f t="shared" si="0"/>
        <v>kwadraat</v>
      </c>
      <c r="C71" s="5">
        <f t="shared" si="5"/>
        <v>0</v>
      </c>
      <c r="D71" t="e">
        <f t="shared" si="6"/>
        <v>#NUM!</v>
      </c>
      <c r="E71">
        <f t="shared" si="2"/>
        <v>0</v>
      </c>
    </row>
    <row r="72" spans="1:5">
      <c r="A72">
        <f t="shared" si="4"/>
        <v>0</v>
      </c>
      <c r="B72" t="str">
        <f t="shared" si="0"/>
        <v>kwadraat</v>
      </c>
      <c r="C72" s="5">
        <f t="shared" si="5"/>
        <v>0</v>
      </c>
      <c r="D72" t="e">
        <f t="shared" si="6"/>
        <v>#NUM!</v>
      </c>
      <c r="E72">
        <f t="shared" si="2"/>
        <v>0</v>
      </c>
    </row>
    <row r="73" spans="1:5">
      <c r="A73">
        <f t="shared" si="4"/>
        <v>0</v>
      </c>
      <c r="B73" t="str">
        <f t="shared" si="0"/>
        <v>kwadraat</v>
      </c>
      <c r="C73" s="5">
        <f t="shared" si="5"/>
        <v>0</v>
      </c>
      <c r="D73" t="e">
        <f t="shared" si="6"/>
        <v>#NUM!</v>
      </c>
      <c r="E73">
        <f t="shared" si="2"/>
        <v>0</v>
      </c>
    </row>
    <row r="74" spans="1:5">
      <c r="A74">
        <f t="shared" si="4"/>
        <v>0</v>
      </c>
      <c r="B74" t="str">
        <f t="shared" si="0"/>
        <v>kwadraat</v>
      </c>
      <c r="C74" s="5">
        <f t="shared" si="5"/>
        <v>0</v>
      </c>
      <c r="D74" t="e">
        <f t="shared" si="6"/>
        <v>#NUM!</v>
      </c>
      <c r="E74">
        <f t="shared" si="2"/>
        <v>0</v>
      </c>
    </row>
    <row r="75" spans="1:5">
      <c r="A75">
        <f t="shared" si="4"/>
        <v>0</v>
      </c>
      <c r="B75" t="str">
        <f t="shared" si="0"/>
        <v>kwadraat</v>
      </c>
      <c r="C75" s="5">
        <f t="shared" si="5"/>
        <v>0</v>
      </c>
      <c r="D75" t="e">
        <f t="shared" si="6"/>
        <v>#NUM!</v>
      </c>
      <c r="E75">
        <f t="shared" si="2"/>
        <v>0</v>
      </c>
    </row>
    <row r="76" spans="1:5">
      <c r="A76">
        <f t="shared" si="4"/>
        <v>0</v>
      </c>
      <c r="B76" t="str">
        <f t="shared" si="0"/>
        <v>kwadraat</v>
      </c>
      <c r="C76" s="5">
        <f t="shared" ref="C76:C96" si="7">IF(A76=1,fast_exp_a,0)</f>
        <v>0</v>
      </c>
      <c r="D76" t="e">
        <f t="shared" si="6"/>
        <v>#NUM!</v>
      </c>
      <c r="E76">
        <f t="shared" si="2"/>
        <v>0</v>
      </c>
    </row>
    <row r="77" spans="1:5">
      <c r="A77">
        <f t="shared" si="4"/>
        <v>0</v>
      </c>
      <c r="B77" t="str">
        <f t="shared" ref="B77:B96" si="8">IF(ISEVEN(A77),"kwadraat","maal")</f>
        <v>kwadraat</v>
      </c>
      <c r="C77" s="5">
        <f t="shared" si="7"/>
        <v>0</v>
      </c>
      <c r="D77" t="e">
        <f t="shared" ref="D77:D96" si="9">IF(B77="kwadraat",D76*D76,D76*fast_exp_zonder_a)</f>
        <v>#NUM!</v>
      </c>
      <c r="E77">
        <f t="shared" ref="E77:E96" si="10">IF(A77=1,D77,0)</f>
        <v>0</v>
      </c>
    </row>
    <row r="78" spans="1:5">
      <c r="A78">
        <f t="shared" ref="A78:A96" si="11">IF(ISEVEN(A77),A77/2,A77-1)</f>
        <v>0</v>
      </c>
      <c r="B78" t="str">
        <f t="shared" si="8"/>
        <v>kwadraat</v>
      </c>
      <c r="C78" s="5">
        <f t="shared" si="7"/>
        <v>0</v>
      </c>
      <c r="D78" t="e">
        <f t="shared" si="9"/>
        <v>#NUM!</v>
      </c>
      <c r="E78">
        <f t="shared" si="10"/>
        <v>0</v>
      </c>
    </row>
    <row r="79" spans="1:5">
      <c r="A79">
        <f t="shared" si="11"/>
        <v>0</v>
      </c>
      <c r="B79" t="str">
        <f t="shared" si="8"/>
        <v>kwadraat</v>
      </c>
      <c r="C79" s="5">
        <f t="shared" si="7"/>
        <v>0</v>
      </c>
      <c r="D79" t="e">
        <f t="shared" si="9"/>
        <v>#NUM!</v>
      </c>
      <c r="E79">
        <f t="shared" si="10"/>
        <v>0</v>
      </c>
    </row>
    <row r="80" spans="1:5">
      <c r="A80">
        <f t="shared" si="11"/>
        <v>0</v>
      </c>
      <c r="B80" t="str">
        <f t="shared" si="8"/>
        <v>kwadraat</v>
      </c>
      <c r="C80" s="5">
        <f t="shared" si="7"/>
        <v>0</v>
      </c>
      <c r="D80" t="e">
        <f t="shared" si="9"/>
        <v>#NUM!</v>
      </c>
      <c r="E80">
        <f t="shared" si="10"/>
        <v>0</v>
      </c>
    </row>
    <row r="81" spans="1:5">
      <c r="A81">
        <f t="shared" si="11"/>
        <v>0</v>
      </c>
      <c r="B81" t="str">
        <f t="shared" si="8"/>
        <v>kwadraat</v>
      </c>
      <c r="C81" s="5">
        <f t="shared" si="7"/>
        <v>0</v>
      </c>
      <c r="D81" t="e">
        <f t="shared" si="9"/>
        <v>#NUM!</v>
      </c>
      <c r="E81">
        <f t="shared" si="10"/>
        <v>0</v>
      </c>
    </row>
    <row r="82" spans="1:5">
      <c r="A82">
        <f t="shared" si="11"/>
        <v>0</v>
      </c>
      <c r="B82" t="str">
        <f t="shared" si="8"/>
        <v>kwadraat</v>
      </c>
      <c r="C82" s="5">
        <f t="shared" si="7"/>
        <v>0</v>
      </c>
      <c r="D82" t="e">
        <f t="shared" si="9"/>
        <v>#NUM!</v>
      </c>
      <c r="E82">
        <f t="shared" si="10"/>
        <v>0</v>
      </c>
    </row>
    <row r="83" spans="1:5">
      <c r="A83">
        <f t="shared" si="11"/>
        <v>0</v>
      </c>
      <c r="B83" t="str">
        <f t="shared" si="8"/>
        <v>kwadraat</v>
      </c>
      <c r="C83" s="5">
        <f t="shared" si="7"/>
        <v>0</v>
      </c>
      <c r="D83" t="e">
        <f t="shared" si="9"/>
        <v>#NUM!</v>
      </c>
      <c r="E83">
        <f t="shared" si="10"/>
        <v>0</v>
      </c>
    </row>
    <row r="84" spans="1:5">
      <c r="A84">
        <f t="shared" si="11"/>
        <v>0</v>
      </c>
      <c r="B84" t="str">
        <f t="shared" si="8"/>
        <v>kwadraat</v>
      </c>
      <c r="C84" s="5">
        <f t="shared" si="7"/>
        <v>0</v>
      </c>
      <c r="D84" t="e">
        <f t="shared" si="9"/>
        <v>#NUM!</v>
      </c>
      <c r="E84">
        <f t="shared" si="10"/>
        <v>0</v>
      </c>
    </row>
    <row r="85" spans="1:5">
      <c r="A85">
        <f t="shared" si="11"/>
        <v>0</v>
      </c>
      <c r="B85" t="str">
        <f t="shared" si="8"/>
        <v>kwadraat</v>
      </c>
      <c r="C85" s="5">
        <f t="shared" si="7"/>
        <v>0</v>
      </c>
      <c r="D85" t="e">
        <f t="shared" si="9"/>
        <v>#NUM!</v>
      </c>
      <c r="E85">
        <f t="shared" si="10"/>
        <v>0</v>
      </c>
    </row>
    <row r="86" spans="1:5">
      <c r="A86">
        <f t="shared" si="11"/>
        <v>0</v>
      </c>
      <c r="B86" t="str">
        <f t="shared" si="8"/>
        <v>kwadraat</v>
      </c>
      <c r="C86" s="5">
        <f t="shared" si="7"/>
        <v>0</v>
      </c>
      <c r="D86" t="e">
        <f t="shared" si="9"/>
        <v>#NUM!</v>
      </c>
      <c r="E86">
        <f t="shared" si="10"/>
        <v>0</v>
      </c>
    </row>
    <row r="87" spans="1:5">
      <c r="A87">
        <f t="shared" si="11"/>
        <v>0</v>
      </c>
      <c r="B87" t="str">
        <f t="shared" si="8"/>
        <v>kwadraat</v>
      </c>
      <c r="C87" s="5">
        <f t="shared" si="7"/>
        <v>0</v>
      </c>
      <c r="D87" t="e">
        <f t="shared" si="9"/>
        <v>#NUM!</v>
      </c>
      <c r="E87">
        <f t="shared" si="10"/>
        <v>0</v>
      </c>
    </row>
    <row r="88" spans="1:5">
      <c r="A88">
        <f t="shared" si="11"/>
        <v>0</v>
      </c>
      <c r="B88" t="str">
        <f t="shared" si="8"/>
        <v>kwadraat</v>
      </c>
      <c r="C88" s="5">
        <f t="shared" si="7"/>
        <v>0</v>
      </c>
      <c r="D88" t="e">
        <f t="shared" si="9"/>
        <v>#NUM!</v>
      </c>
      <c r="E88">
        <f t="shared" si="10"/>
        <v>0</v>
      </c>
    </row>
    <row r="89" spans="1:5">
      <c r="A89">
        <f t="shared" si="11"/>
        <v>0</v>
      </c>
      <c r="B89" t="str">
        <f t="shared" si="8"/>
        <v>kwadraat</v>
      </c>
      <c r="C89" s="5">
        <f t="shared" si="7"/>
        <v>0</v>
      </c>
      <c r="D89" t="e">
        <f t="shared" si="9"/>
        <v>#NUM!</v>
      </c>
      <c r="E89">
        <f t="shared" si="10"/>
        <v>0</v>
      </c>
    </row>
    <row r="90" spans="1:5">
      <c r="A90">
        <f t="shared" si="11"/>
        <v>0</v>
      </c>
      <c r="B90" t="str">
        <f t="shared" si="8"/>
        <v>kwadraat</v>
      </c>
      <c r="C90" s="5">
        <f t="shared" si="7"/>
        <v>0</v>
      </c>
      <c r="D90" t="e">
        <f t="shared" si="9"/>
        <v>#NUM!</v>
      </c>
      <c r="E90">
        <f t="shared" si="10"/>
        <v>0</v>
      </c>
    </row>
    <row r="91" spans="1:5">
      <c r="A91">
        <f t="shared" si="11"/>
        <v>0</v>
      </c>
      <c r="B91" t="str">
        <f t="shared" si="8"/>
        <v>kwadraat</v>
      </c>
      <c r="C91" s="5">
        <f t="shared" si="7"/>
        <v>0</v>
      </c>
      <c r="D91" t="e">
        <f t="shared" si="9"/>
        <v>#NUM!</v>
      </c>
      <c r="E91">
        <f t="shared" si="10"/>
        <v>0</v>
      </c>
    </row>
    <row r="92" spans="1:5">
      <c r="A92">
        <f t="shared" si="11"/>
        <v>0</v>
      </c>
      <c r="B92" t="str">
        <f t="shared" si="8"/>
        <v>kwadraat</v>
      </c>
      <c r="C92" s="5">
        <f t="shared" si="7"/>
        <v>0</v>
      </c>
      <c r="D92" t="e">
        <f t="shared" si="9"/>
        <v>#NUM!</v>
      </c>
      <c r="E92">
        <f t="shared" si="10"/>
        <v>0</v>
      </c>
    </row>
    <row r="93" spans="1:5">
      <c r="A93">
        <f t="shared" si="11"/>
        <v>0</v>
      </c>
      <c r="B93" t="str">
        <f t="shared" si="8"/>
        <v>kwadraat</v>
      </c>
      <c r="C93" s="5">
        <f t="shared" si="7"/>
        <v>0</v>
      </c>
      <c r="D93" t="e">
        <f t="shared" si="9"/>
        <v>#NUM!</v>
      </c>
      <c r="E93">
        <f t="shared" si="10"/>
        <v>0</v>
      </c>
    </row>
    <row r="94" spans="1:5">
      <c r="A94">
        <f t="shared" si="11"/>
        <v>0</v>
      </c>
      <c r="B94" t="str">
        <f t="shared" si="8"/>
        <v>kwadraat</v>
      </c>
      <c r="C94" s="5">
        <f t="shared" si="7"/>
        <v>0</v>
      </c>
      <c r="D94" t="e">
        <f t="shared" si="9"/>
        <v>#NUM!</v>
      </c>
      <c r="E94">
        <f t="shared" si="10"/>
        <v>0</v>
      </c>
    </row>
    <row r="95" spans="1:5">
      <c r="A95">
        <f t="shared" si="11"/>
        <v>0</v>
      </c>
      <c r="B95" t="str">
        <f t="shared" si="8"/>
        <v>kwadraat</v>
      </c>
      <c r="C95" s="5">
        <f t="shared" si="7"/>
        <v>0</v>
      </c>
      <c r="D95" t="e">
        <f t="shared" si="9"/>
        <v>#NUM!</v>
      </c>
      <c r="E95">
        <f t="shared" si="10"/>
        <v>0</v>
      </c>
    </row>
    <row r="96" spans="1:5">
      <c r="A96">
        <f t="shared" si="11"/>
        <v>0</v>
      </c>
      <c r="B96" t="str">
        <f t="shared" si="8"/>
        <v>kwadraat</v>
      </c>
      <c r="C96" s="5">
        <f t="shared" si="7"/>
        <v>0</v>
      </c>
      <c r="D96" t="e">
        <f t="shared" si="9"/>
        <v>#NUM!</v>
      </c>
      <c r="E96">
        <f t="shared" si="10"/>
        <v>0</v>
      </c>
    </row>
    <row r="97" spans="3:4">
      <c r="C97" s="5"/>
      <c r="D97" s="5"/>
    </row>
    <row r="98" spans="3:4">
      <c r="C98" s="5"/>
      <c r="D98" s="5"/>
    </row>
    <row r="99" spans="3:4">
      <c r="C99" s="5"/>
      <c r="D99" s="5"/>
    </row>
    <row r="100" spans="3:4">
      <c r="C100" s="5"/>
      <c r="D100" s="5"/>
    </row>
    <row r="101" spans="3:4">
      <c r="C101" s="5"/>
      <c r="D101" s="5"/>
    </row>
    <row r="102" spans="3:4">
      <c r="C102" s="5"/>
      <c r="D102" s="5"/>
    </row>
    <row r="103" spans="3:4">
      <c r="C103" s="5"/>
      <c r="D103" s="5"/>
    </row>
    <row r="104" spans="3:4">
      <c r="C104" s="5"/>
      <c r="D104" s="5"/>
    </row>
    <row r="105" spans="3:4">
      <c r="C105" s="5"/>
      <c r="D105" s="5"/>
    </row>
    <row r="106" spans="3:4">
      <c r="C106" s="5"/>
      <c r="D106" s="5"/>
    </row>
    <row r="107" spans="3:4">
      <c r="C107" s="5"/>
      <c r="D107" s="5"/>
    </row>
    <row r="108" spans="3:4">
      <c r="C108" s="5"/>
      <c r="D108" s="5"/>
    </row>
    <row r="109" spans="3:4">
      <c r="C109" s="5"/>
      <c r="D109" s="5"/>
    </row>
    <row r="110" spans="3:4">
      <c r="C110" s="5"/>
      <c r="D110" s="5"/>
    </row>
    <row r="111" spans="3:4">
      <c r="C111" s="5"/>
      <c r="D111" s="5"/>
    </row>
    <row r="112" spans="3:4">
      <c r="C112" s="5"/>
      <c r="D112" s="5"/>
    </row>
    <row r="113" spans="3:4">
      <c r="C113" s="5"/>
      <c r="D113" s="5"/>
    </row>
    <row r="114" spans="3:4">
      <c r="C114" s="5"/>
      <c r="D114" s="5"/>
    </row>
    <row r="115" spans="3:4">
      <c r="C115" s="5"/>
      <c r="D115" s="5"/>
    </row>
    <row r="116" spans="3:4">
      <c r="C116" s="5"/>
      <c r="D116" s="5"/>
    </row>
    <row r="117" spans="3:4">
      <c r="C117" s="5"/>
      <c r="D117" s="5"/>
    </row>
    <row r="118" spans="3:4">
      <c r="C118" s="5"/>
      <c r="D118" s="5"/>
    </row>
    <row r="119" spans="3:4">
      <c r="C119" s="5"/>
      <c r="D119" s="5"/>
    </row>
    <row r="120" spans="3:4">
      <c r="C120" s="5"/>
      <c r="D120" s="5"/>
    </row>
    <row r="121" spans="3:4">
      <c r="C121" s="5"/>
      <c r="D121" s="5"/>
    </row>
    <row r="122" spans="3:4">
      <c r="C122" s="5"/>
      <c r="D122" s="5"/>
    </row>
    <row r="123" spans="3:4">
      <c r="C123" s="5"/>
      <c r="D123" s="5"/>
    </row>
    <row r="124" spans="3:4">
      <c r="C124" s="5"/>
      <c r="D124" s="5"/>
    </row>
    <row r="125" spans="3:4">
      <c r="C125" s="5"/>
      <c r="D125" s="5"/>
    </row>
    <row r="126" spans="3:4">
      <c r="C126" s="5"/>
      <c r="D126" s="5"/>
    </row>
    <row r="127" spans="3:4">
      <c r="C127" s="5"/>
      <c r="D127" s="5"/>
    </row>
    <row r="128" spans="3:4">
      <c r="C128" s="5"/>
      <c r="D128" s="5"/>
    </row>
    <row r="129" spans="3:4">
      <c r="C129" s="5"/>
      <c r="D129" s="5"/>
    </row>
    <row r="130" spans="3:4">
      <c r="C130" s="5"/>
      <c r="D130" s="5"/>
    </row>
    <row r="131" spans="3:4">
      <c r="C131" s="5"/>
      <c r="D131" s="5"/>
    </row>
    <row r="132" spans="3:4">
      <c r="C132" s="5"/>
      <c r="D132" s="5"/>
    </row>
    <row r="133" spans="3:4">
      <c r="C133" s="5"/>
      <c r="D133" s="5"/>
    </row>
    <row r="134" spans="3:4">
      <c r="C134" s="5"/>
      <c r="D134" s="5"/>
    </row>
    <row r="135" spans="3:4">
      <c r="C135" s="5"/>
      <c r="D135" s="5"/>
    </row>
    <row r="136" spans="3:4">
      <c r="C136" s="5"/>
      <c r="D136" s="5"/>
    </row>
    <row r="137" spans="3:4">
      <c r="C137" s="5"/>
      <c r="D137" s="5"/>
    </row>
    <row r="138" spans="3:4">
      <c r="C138" s="5"/>
      <c r="D138" s="5"/>
    </row>
    <row r="139" spans="3:4">
      <c r="C139" s="5"/>
      <c r="D139" s="5"/>
    </row>
    <row r="140" spans="3:4">
      <c r="C140" s="5"/>
      <c r="D140" s="5"/>
    </row>
    <row r="141" spans="3:4">
      <c r="C141" s="5"/>
      <c r="D141" s="5"/>
    </row>
    <row r="142" spans="3:4">
      <c r="C142" s="5"/>
      <c r="D142" s="5"/>
    </row>
    <row r="143" spans="3:4">
      <c r="C143" s="5"/>
      <c r="D143" s="5"/>
    </row>
    <row r="144" spans="3:4">
      <c r="C144" s="5"/>
      <c r="D144" s="5"/>
    </row>
    <row r="145" spans="3:4">
      <c r="C145" s="5"/>
      <c r="D145" s="5"/>
    </row>
    <row r="146" spans="3:4">
      <c r="C146" s="5"/>
      <c r="D146" s="5"/>
    </row>
    <row r="147" spans="3:4">
      <c r="C147" s="5"/>
      <c r="D147" s="5"/>
    </row>
    <row r="148" spans="3:4">
      <c r="C148" s="5"/>
      <c r="D148" s="5"/>
    </row>
    <row r="149" spans="3:4">
      <c r="C149" s="5"/>
      <c r="D149" s="5"/>
    </row>
    <row r="150" spans="3:4">
      <c r="C150" s="5"/>
      <c r="D150" s="5"/>
    </row>
    <row r="151" spans="3:4">
      <c r="C151" s="5"/>
      <c r="D151" s="5"/>
    </row>
    <row r="152" spans="3:4">
      <c r="C152" s="5"/>
      <c r="D152" s="5"/>
    </row>
    <row r="153" spans="3:4">
      <c r="C153" s="5"/>
      <c r="D153" s="5"/>
    </row>
    <row r="154" spans="3:4">
      <c r="C154" s="5"/>
      <c r="D154" s="5"/>
    </row>
    <row r="155" spans="3:4">
      <c r="C155" s="5"/>
      <c r="D155" s="5"/>
    </row>
    <row r="156" spans="3:4">
      <c r="C156" s="5"/>
      <c r="D156" s="5"/>
    </row>
    <row r="157" spans="3:4">
      <c r="C157" s="5"/>
      <c r="D157" s="5"/>
    </row>
    <row r="158" spans="3:4">
      <c r="C158" s="5"/>
      <c r="D158" s="5"/>
    </row>
    <row r="159" spans="3:4">
      <c r="C159" s="5"/>
      <c r="D159" s="5"/>
    </row>
    <row r="160" spans="3:4">
      <c r="C160" s="5"/>
      <c r="D160" s="5"/>
    </row>
    <row r="161" spans="3:4">
      <c r="C161" s="5"/>
      <c r="D161" s="5"/>
    </row>
    <row r="162" spans="3:4">
      <c r="C162" s="5"/>
      <c r="D162" s="5"/>
    </row>
    <row r="163" spans="3:4">
      <c r="C163" s="5"/>
      <c r="D163" s="5"/>
    </row>
    <row r="164" spans="3:4">
      <c r="C164" s="5"/>
      <c r="D164" s="5"/>
    </row>
    <row r="165" spans="3:4">
      <c r="C165" s="5"/>
      <c r="D165" s="5"/>
    </row>
    <row r="166" spans="3:4">
      <c r="C166" s="5"/>
      <c r="D166" s="5"/>
    </row>
    <row r="167" spans="3:4">
      <c r="C167" s="5"/>
      <c r="D167" s="5"/>
    </row>
    <row r="168" spans="3:4">
      <c r="C168" s="5"/>
      <c r="D168" s="5"/>
    </row>
    <row r="169" spans="3:4">
      <c r="C169" s="5"/>
      <c r="D169" s="5"/>
    </row>
    <row r="170" spans="3:4">
      <c r="C170" s="5"/>
      <c r="D170" s="5"/>
    </row>
    <row r="171" spans="3:4">
      <c r="C171" s="5"/>
      <c r="D171" s="5"/>
    </row>
    <row r="172" spans="3:4">
      <c r="C172" s="5"/>
      <c r="D172" s="5"/>
    </row>
    <row r="173" spans="3:4">
      <c r="C173" s="5"/>
      <c r="D173" s="5"/>
    </row>
    <row r="174" spans="3:4">
      <c r="C174" s="5"/>
      <c r="D174" s="5"/>
    </row>
    <row r="175" spans="3:4">
      <c r="C175" s="5"/>
      <c r="D175" s="5"/>
    </row>
    <row r="176" spans="3:4">
      <c r="C176" s="5"/>
      <c r="D176" s="5"/>
    </row>
    <row r="177" spans="3:4">
      <c r="C177" s="5"/>
      <c r="D177" s="5"/>
    </row>
    <row r="178" spans="3:4">
      <c r="C178" s="5"/>
      <c r="D178" s="5"/>
    </row>
    <row r="179" spans="3:4">
      <c r="C179" s="5"/>
      <c r="D179" s="5"/>
    </row>
    <row r="180" spans="3:4">
      <c r="C180" s="5"/>
      <c r="D180" s="5"/>
    </row>
    <row r="181" spans="3:4">
      <c r="C181" s="5"/>
      <c r="D181" s="5"/>
    </row>
    <row r="182" spans="3:4">
      <c r="C182" s="5"/>
      <c r="D182" s="5"/>
    </row>
    <row r="183" spans="3:4">
      <c r="C183" s="5"/>
      <c r="D183" s="5"/>
    </row>
    <row r="184" spans="3:4">
      <c r="C184" s="5"/>
      <c r="D184" s="5"/>
    </row>
    <row r="185" spans="3:4">
      <c r="C185" s="5"/>
      <c r="D185" s="5"/>
    </row>
    <row r="186" spans="3:4">
      <c r="C186" s="5"/>
      <c r="D186" s="5"/>
    </row>
    <row r="187" spans="3:4">
      <c r="C187" s="5"/>
      <c r="D187" s="5"/>
    </row>
    <row r="188" spans="3:4">
      <c r="C188" s="5"/>
      <c r="D188" s="5"/>
    </row>
    <row r="189" spans="3:4">
      <c r="C189" s="5"/>
      <c r="D189" s="5"/>
    </row>
    <row r="190" spans="3:4">
      <c r="C190" s="5"/>
      <c r="D190" s="5"/>
    </row>
    <row r="191" spans="3:4">
      <c r="C191" s="5"/>
      <c r="D191" s="5"/>
    </row>
    <row r="192" spans="3:4">
      <c r="C192" s="5"/>
      <c r="D192" s="5"/>
    </row>
    <row r="193" spans="3:4">
      <c r="C193" s="5"/>
      <c r="D193" s="5"/>
    </row>
    <row r="194" spans="3:4">
      <c r="C194" s="5"/>
      <c r="D194" s="5"/>
    </row>
    <row r="195" spans="3:4">
      <c r="C195" s="5"/>
      <c r="D195" s="5"/>
    </row>
    <row r="196" spans="3:4">
      <c r="C196" s="5"/>
      <c r="D196" s="5"/>
    </row>
    <row r="197" spans="3:4">
      <c r="C197" s="5"/>
      <c r="D197" s="5"/>
    </row>
    <row r="198" spans="3:4">
      <c r="C198" s="5"/>
      <c r="D198" s="5"/>
    </row>
    <row r="199" spans="3:4">
      <c r="C199" s="5"/>
      <c r="D199" s="5"/>
    </row>
    <row r="200" spans="3:4">
      <c r="C200" s="5"/>
      <c r="D200" s="5"/>
    </row>
    <row r="201" spans="3:4">
      <c r="C201" s="5"/>
      <c r="D201" s="5"/>
    </row>
    <row r="202" spans="3:4">
      <c r="C202" s="5"/>
      <c r="D202" s="5"/>
    </row>
    <row r="203" spans="3:4">
      <c r="C203" s="5"/>
      <c r="D203" s="5"/>
    </row>
    <row r="204" spans="3:4">
      <c r="C204" s="5"/>
      <c r="D204" s="5"/>
    </row>
    <row r="205" spans="3:4">
      <c r="C205" s="5"/>
      <c r="D205" s="5"/>
    </row>
    <row r="206" spans="3:4">
      <c r="C206" s="5"/>
      <c r="D206" s="5"/>
    </row>
    <row r="207" spans="3:4">
      <c r="C207" s="5"/>
      <c r="D207" s="5"/>
    </row>
    <row r="208" spans="3:4">
      <c r="C208" s="5"/>
      <c r="D208" s="5"/>
    </row>
    <row r="209" spans="3:4">
      <c r="C209" s="5"/>
      <c r="D209" s="5"/>
    </row>
    <row r="210" spans="3:4">
      <c r="C210" s="5"/>
      <c r="D210" s="5"/>
    </row>
    <row r="211" spans="3:4">
      <c r="C211" s="5"/>
      <c r="D211" s="5"/>
    </row>
    <row r="212" spans="3:4">
      <c r="C212" s="5"/>
      <c r="D212" s="5"/>
    </row>
    <row r="213" spans="3:4">
      <c r="C213" s="5"/>
      <c r="D213" s="5"/>
    </row>
    <row r="214" spans="3:4">
      <c r="C214" s="5"/>
      <c r="D214" s="5"/>
    </row>
    <row r="215" spans="3:4">
      <c r="C215" s="5"/>
      <c r="D215" s="5"/>
    </row>
    <row r="216" spans="3:4">
      <c r="C216" s="5"/>
      <c r="D216" s="5"/>
    </row>
    <row r="217" spans="3:4">
      <c r="C217" s="5"/>
      <c r="D217" s="5"/>
    </row>
    <row r="218" spans="3:4">
      <c r="C218" s="5"/>
      <c r="D218" s="5"/>
    </row>
    <row r="219" spans="3:4">
      <c r="C219" s="5"/>
      <c r="D219" s="5"/>
    </row>
    <row r="220" spans="3:4">
      <c r="C220" s="5"/>
      <c r="D220" s="5"/>
    </row>
    <row r="221" spans="3:4">
      <c r="C221" s="5"/>
      <c r="D221" s="5"/>
    </row>
    <row r="222" spans="3:4">
      <c r="C222" s="5"/>
      <c r="D222" s="5"/>
    </row>
    <row r="223" spans="3:4">
      <c r="C223" s="5"/>
      <c r="D223" s="5"/>
    </row>
    <row r="224" spans="3:4">
      <c r="C224" s="5"/>
      <c r="D224" s="5"/>
    </row>
    <row r="225" spans="3:4">
      <c r="C225" s="5"/>
      <c r="D225" s="5"/>
    </row>
    <row r="226" spans="3:4">
      <c r="C226" s="5"/>
      <c r="D226" s="5"/>
    </row>
    <row r="227" spans="3:4">
      <c r="C227" s="5"/>
      <c r="D227" s="5"/>
    </row>
    <row r="228" spans="3:4">
      <c r="C228" s="5"/>
      <c r="D228" s="5"/>
    </row>
    <row r="229" spans="3:4">
      <c r="C229" s="5"/>
      <c r="D229" s="5"/>
    </row>
    <row r="230" spans="3:4">
      <c r="C230" s="5"/>
      <c r="D230" s="5"/>
    </row>
    <row r="231" spans="3:4">
      <c r="C231" s="5"/>
      <c r="D231" s="5"/>
    </row>
    <row r="232" spans="3:4">
      <c r="C232" s="5"/>
      <c r="D232" s="5"/>
    </row>
    <row r="233" spans="3:4">
      <c r="C233" s="5"/>
      <c r="D233" s="5"/>
    </row>
    <row r="234" spans="3:4">
      <c r="C234" s="5"/>
      <c r="D234" s="5"/>
    </row>
    <row r="235" spans="3:4">
      <c r="C235" s="5"/>
      <c r="D235" s="5"/>
    </row>
    <row r="236" spans="3:4">
      <c r="C236" s="5"/>
      <c r="D236" s="5"/>
    </row>
    <row r="237" spans="3:4">
      <c r="C237" s="5"/>
      <c r="D237" s="5"/>
    </row>
    <row r="238" spans="3:4">
      <c r="C238" s="5"/>
      <c r="D238" s="5"/>
    </row>
    <row r="239" spans="3:4">
      <c r="C239" s="5"/>
      <c r="D239" s="5"/>
    </row>
    <row r="240" spans="3:4">
      <c r="C240" s="5"/>
      <c r="D240" s="5"/>
    </row>
    <row r="241" spans="3:4">
      <c r="C241" s="5"/>
      <c r="D241" s="5"/>
    </row>
    <row r="242" spans="3:4">
      <c r="C242" s="5"/>
      <c r="D242" s="5"/>
    </row>
    <row r="243" spans="3:4">
      <c r="C243" s="5"/>
      <c r="D243" s="5"/>
    </row>
    <row r="244" spans="3:4">
      <c r="C244" s="5"/>
      <c r="D244" s="5"/>
    </row>
    <row r="245" spans="3:4">
      <c r="C245" s="5"/>
      <c r="D245" s="5"/>
    </row>
    <row r="246" spans="3:4">
      <c r="C246" s="5"/>
      <c r="D246" s="5"/>
    </row>
    <row r="247" spans="3:4">
      <c r="C247" s="5"/>
      <c r="D247" s="5"/>
    </row>
    <row r="248" spans="3:4">
      <c r="C248" s="5"/>
      <c r="D248" s="5"/>
    </row>
    <row r="249" spans="3:4">
      <c r="C249" s="5"/>
      <c r="D249" s="5"/>
    </row>
    <row r="250" spans="3:4">
      <c r="C250" s="5"/>
      <c r="D250" s="5"/>
    </row>
    <row r="251" spans="3:4">
      <c r="C251" s="5"/>
      <c r="D251" s="5"/>
    </row>
    <row r="252" spans="3:4">
      <c r="C252" s="5"/>
      <c r="D252" s="5"/>
    </row>
    <row r="253" spans="3:4">
      <c r="C253" s="5"/>
      <c r="D253" s="5"/>
    </row>
    <row r="254" spans="3:4">
      <c r="C254" s="5"/>
      <c r="D254" s="5"/>
    </row>
    <row r="255" spans="3:4">
      <c r="C255" s="5"/>
      <c r="D255" s="5"/>
    </row>
    <row r="256" spans="3:4">
      <c r="C256" s="5"/>
      <c r="D256" s="5"/>
    </row>
    <row r="257" spans="3:4">
      <c r="C257" s="5"/>
      <c r="D257" s="5"/>
    </row>
    <row r="258" spans="3:4">
      <c r="C258" s="5"/>
      <c r="D258" s="5"/>
    </row>
    <row r="259" spans="3:4">
      <c r="C259" s="5"/>
      <c r="D259" s="5"/>
    </row>
    <row r="260" spans="3:4">
      <c r="C260" s="5"/>
      <c r="D260" s="5"/>
    </row>
    <row r="261" spans="3:4">
      <c r="C261" s="5"/>
      <c r="D261" s="5"/>
    </row>
    <row r="262" spans="3:4">
      <c r="C262" s="5"/>
      <c r="D262" s="5"/>
    </row>
    <row r="263" spans="3:4">
      <c r="C263" s="5"/>
      <c r="D263" s="5"/>
    </row>
    <row r="264" spans="3:4">
      <c r="C264" s="5"/>
      <c r="D264" s="5"/>
    </row>
    <row r="265" spans="3:4">
      <c r="C265" s="5"/>
      <c r="D265" s="5"/>
    </row>
    <row r="266" spans="3:4">
      <c r="C266" s="5"/>
      <c r="D266" s="5"/>
    </row>
    <row r="267" spans="3:4">
      <c r="C267" s="5"/>
      <c r="D267" s="5"/>
    </row>
    <row r="268" spans="3:4">
      <c r="C268" s="5"/>
      <c r="D268" s="5"/>
    </row>
    <row r="269" spans="3:4">
      <c r="C269" s="5"/>
      <c r="D269" s="5"/>
    </row>
    <row r="270" spans="3:4">
      <c r="C270" s="5"/>
      <c r="D270" s="5"/>
    </row>
    <row r="271" spans="3:4">
      <c r="C271" s="5"/>
      <c r="D271" s="5"/>
    </row>
    <row r="272" spans="3:4">
      <c r="C272" s="5"/>
      <c r="D272" s="5"/>
    </row>
    <row r="273" spans="3:4">
      <c r="C273" s="5"/>
      <c r="D273" s="5"/>
    </row>
    <row r="274" spans="3:4">
      <c r="C274" s="5"/>
      <c r="D274" s="5"/>
    </row>
    <row r="275" spans="3:4">
      <c r="C275" s="5"/>
      <c r="D275" s="5"/>
    </row>
    <row r="276" spans="3:4">
      <c r="C276" s="5"/>
      <c r="D276" s="5"/>
    </row>
    <row r="277" spans="3:4">
      <c r="C277" s="5"/>
      <c r="D277" s="5"/>
    </row>
    <row r="278" spans="3:4">
      <c r="C278" s="5"/>
      <c r="D278" s="5"/>
    </row>
    <row r="279" spans="3:4">
      <c r="C279" s="5"/>
      <c r="D279" s="5"/>
    </row>
    <row r="280" spans="3:4">
      <c r="C280" s="5"/>
      <c r="D280" s="5"/>
    </row>
    <row r="281" spans="3:4">
      <c r="C281" s="5"/>
      <c r="D281" s="5"/>
    </row>
    <row r="282" spans="3:4">
      <c r="C282" s="5"/>
      <c r="D282" s="5"/>
    </row>
    <row r="283" spans="3:4">
      <c r="C283" s="5"/>
      <c r="D283" s="5"/>
    </row>
    <row r="284" spans="3:4">
      <c r="C284" s="5"/>
      <c r="D284" s="5"/>
    </row>
    <row r="285" spans="3:4">
      <c r="C285" s="5"/>
      <c r="D285" s="5"/>
    </row>
    <row r="286" spans="3:4">
      <c r="C286" s="5"/>
      <c r="D286" s="5"/>
    </row>
    <row r="287" spans="3:4">
      <c r="C287" s="5"/>
      <c r="D287" s="5"/>
    </row>
    <row r="288" spans="3:4">
      <c r="C288" s="5"/>
      <c r="D288" s="5"/>
    </row>
    <row r="289" spans="3:4">
      <c r="C289" s="5"/>
      <c r="D289" s="5"/>
    </row>
    <row r="290" spans="3:4">
      <c r="C290" s="5"/>
      <c r="D290" s="5"/>
    </row>
    <row r="291" spans="3:4">
      <c r="C291" s="5"/>
      <c r="D291" s="5"/>
    </row>
    <row r="292" spans="3:4">
      <c r="C292" s="5"/>
      <c r="D292" s="5"/>
    </row>
    <row r="293" spans="3:4">
      <c r="C293" s="5"/>
      <c r="D293" s="5"/>
    </row>
    <row r="294" spans="3:4">
      <c r="C294" s="5"/>
      <c r="D294" s="5"/>
    </row>
    <row r="295" spans="3:4">
      <c r="C295" s="5"/>
      <c r="D295" s="5"/>
    </row>
    <row r="296" spans="3:4">
      <c r="C296" s="5"/>
      <c r="D296" s="5"/>
    </row>
    <row r="297" spans="3:4">
      <c r="C297" s="5"/>
      <c r="D297" s="5"/>
    </row>
    <row r="298" spans="3:4">
      <c r="C298" s="5"/>
      <c r="D298" s="5"/>
    </row>
    <row r="299" spans="3:4">
      <c r="C299" s="5"/>
      <c r="D299" s="5"/>
    </row>
    <row r="300" spans="3:4">
      <c r="C300" s="5"/>
      <c r="D300" s="5"/>
    </row>
    <row r="301" spans="3:4">
      <c r="C301" s="5"/>
      <c r="D301" s="5"/>
    </row>
    <row r="302" spans="3:4">
      <c r="C302" s="5"/>
      <c r="D302" s="5"/>
    </row>
    <row r="303" spans="3:4">
      <c r="C303" s="5"/>
      <c r="D303" s="5"/>
    </row>
    <row r="304" spans="3:4">
      <c r="C304" s="5"/>
      <c r="D304" s="5"/>
    </row>
    <row r="305" spans="3:4">
      <c r="C305" s="5"/>
      <c r="D305" s="5"/>
    </row>
    <row r="306" spans="3:4">
      <c r="C306" s="5"/>
      <c r="D306" s="5"/>
    </row>
    <row r="307" spans="3:4">
      <c r="C307" s="5"/>
      <c r="D307" s="5"/>
    </row>
    <row r="308" spans="3:4">
      <c r="C308" s="5"/>
      <c r="D308" s="5"/>
    </row>
    <row r="309" spans="3:4">
      <c r="C309" s="5"/>
      <c r="D309" s="5"/>
    </row>
    <row r="310" spans="3:4">
      <c r="C310" s="5"/>
      <c r="D310" s="5"/>
    </row>
    <row r="311" spans="3:4">
      <c r="C311" s="5"/>
      <c r="D311" s="5"/>
    </row>
    <row r="312" spans="3:4">
      <c r="C312" s="5"/>
      <c r="D312" s="5"/>
    </row>
    <row r="313" spans="3:4">
      <c r="C313" s="5"/>
      <c r="D313" s="5"/>
    </row>
    <row r="314" spans="3:4">
      <c r="C314" s="5"/>
      <c r="D314" s="5"/>
    </row>
    <row r="315" spans="3:4">
      <c r="C315" s="5"/>
      <c r="D315" s="5"/>
    </row>
    <row r="316" spans="3:4">
      <c r="C316" s="5"/>
      <c r="D316" s="5"/>
    </row>
    <row r="317" spans="3:4">
      <c r="C317" s="5"/>
      <c r="D317" s="5"/>
    </row>
    <row r="318" spans="3:4">
      <c r="C318" s="5"/>
      <c r="D318" s="5"/>
    </row>
    <row r="319" spans="3:4">
      <c r="C319" s="5"/>
      <c r="D319" s="5"/>
    </row>
    <row r="320" spans="3:4">
      <c r="C320" s="5"/>
      <c r="D320" s="5"/>
    </row>
    <row r="321" spans="3:4">
      <c r="C321" s="5"/>
      <c r="D321" s="5"/>
    </row>
    <row r="322" spans="3:4">
      <c r="C322" s="5"/>
      <c r="D322" s="5"/>
    </row>
    <row r="323" spans="3:4">
      <c r="C323" s="5"/>
      <c r="D323" s="5"/>
    </row>
    <row r="324" spans="3:4">
      <c r="C324" s="5"/>
      <c r="D324" s="5"/>
    </row>
    <row r="325" spans="3:4">
      <c r="C325" s="5"/>
      <c r="D325" s="5"/>
    </row>
    <row r="326" spans="3:4">
      <c r="C326" s="5"/>
      <c r="D326" s="5"/>
    </row>
    <row r="327" spans="3:4">
      <c r="C327" s="5"/>
      <c r="D327" s="5"/>
    </row>
    <row r="328" spans="3:4">
      <c r="C328" s="5"/>
      <c r="D328" s="5"/>
    </row>
    <row r="329" spans="3:4">
      <c r="C329" s="5"/>
      <c r="D329" s="5"/>
    </row>
    <row r="330" spans="3:4">
      <c r="C330" s="5"/>
      <c r="D330" s="5"/>
    </row>
    <row r="331" spans="3:4">
      <c r="C331" s="5"/>
      <c r="D331" s="5"/>
    </row>
    <row r="332" spans="3:4">
      <c r="C332" s="5"/>
      <c r="D332" s="5"/>
    </row>
    <row r="333" spans="3:4">
      <c r="C333" s="5"/>
      <c r="D333" s="5"/>
    </row>
    <row r="334" spans="3:4">
      <c r="C334" s="5"/>
      <c r="D334" s="5"/>
    </row>
    <row r="335" spans="3:4">
      <c r="C335" s="5"/>
      <c r="D335" s="5"/>
    </row>
    <row r="336" spans="3:4">
      <c r="C336" s="5"/>
      <c r="D336" s="5"/>
    </row>
    <row r="337" spans="3:4">
      <c r="C337" s="5"/>
      <c r="D337" s="5"/>
    </row>
    <row r="338" spans="3:4">
      <c r="C338" s="5"/>
      <c r="D338" s="5"/>
    </row>
    <row r="339" spans="3:4">
      <c r="C339" s="5"/>
      <c r="D339" s="5"/>
    </row>
    <row r="340" spans="3:4">
      <c r="C340" s="5"/>
      <c r="D340" s="5"/>
    </row>
    <row r="341" spans="3:4">
      <c r="C341" s="5"/>
      <c r="D341" s="5"/>
    </row>
    <row r="342" spans="3:4">
      <c r="C342" s="5"/>
      <c r="D342" s="5"/>
    </row>
    <row r="343" spans="3:4">
      <c r="C343" s="5"/>
      <c r="D343" s="5"/>
    </row>
    <row r="344" spans="3:4">
      <c r="C344" s="5"/>
      <c r="D344" s="5"/>
    </row>
    <row r="345" spans="3:4">
      <c r="C345" s="5"/>
      <c r="D345" s="5"/>
    </row>
    <row r="346" spans="3:4">
      <c r="C346" s="5"/>
      <c r="D346" s="5"/>
    </row>
    <row r="347" spans="3:4">
      <c r="C347" s="5"/>
      <c r="D347" s="5"/>
    </row>
    <row r="348" spans="3:4">
      <c r="C348" s="5"/>
      <c r="D348" s="5"/>
    </row>
    <row r="349" spans="3:4">
      <c r="C349" s="5"/>
      <c r="D349" s="5"/>
    </row>
    <row r="350" spans="3:4">
      <c r="C350" s="5"/>
      <c r="D350" s="5"/>
    </row>
    <row r="351" spans="3:4">
      <c r="C351" s="5"/>
      <c r="D351" s="5"/>
    </row>
    <row r="352" spans="3:4">
      <c r="C352" s="5"/>
      <c r="D352" s="5"/>
    </row>
    <row r="353" spans="3:4">
      <c r="C353" s="5"/>
      <c r="D353" s="5"/>
    </row>
    <row r="354" spans="3:4">
      <c r="C354" s="5"/>
      <c r="D354" s="5"/>
    </row>
    <row r="355" spans="3:4">
      <c r="C355" s="5"/>
      <c r="D355" s="5"/>
    </row>
    <row r="356" spans="3:4">
      <c r="C356" s="5"/>
      <c r="D356" s="5"/>
    </row>
    <row r="357" spans="3:4">
      <c r="C357" s="5"/>
      <c r="D357" s="5"/>
    </row>
    <row r="358" spans="3:4">
      <c r="C358" s="5"/>
      <c r="D358" s="5"/>
    </row>
    <row r="359" spans="3:4">
      <c r="C359" s="5"/>
      <c r="D359" s="5"/>
    </row>
    <row r="360" spans="3:4">
      <c r="C360" s="5"/>
      <c r="D360" s="5"/>
    </row>
    <row r="361" spans="3:4">
      <c r="C361" s="5"/>
      <c r="D361" s="5"/>
    </row>
    <row r="362" spans="3:4">
      <c r="C362" s="5"/>
      <c r="D362" s="5"/>
    </row>
    <row r="363" spans="3:4">
      <c r="C363" s="5"/>
      <c r="D363" s="5"/>
    </row>
    <row r="364" spans="3:4">
      <c r="C364" s="5"/>
      <c r="D364" s="5"/>
    </row>
    <row r="365" spans="3:4">
      <c r="C365" s="5"/>
      <c r="D365" s="5"/>
    </row>
    <row r="366" spans="3:4">
      <c r="C366" s="5"/>
      <c r="D366" s="5"/>
    </row>
    <row r="367" spans="3:4">
      <c r="C367" s="5"/>
      <c r="D367" s="5"/>
    </row>
    <row r="368" spans="3:4">
      <c r="C368" s="5"/>
      <c r="D368" s="5"/>
    </row>
    <row r="369" spans="3:4">
      <c r="C369" s="5"/>
      <c r="D369" s="5"/>
    </row>
    <row r="370" spans="3:4">
      <c r="C370" s="5"/>
      <c r="D370" s="5"/>
    </row>
    <row r="371" spans="3:4">
      <c r="C371" s="5"/>
      <c r="D371" s="5"/>
    </row>
    <row r="372" spans="3:4">
      <c r="C372" s="5"/>
      <c r="D372" s="5"/>
    </row>
    <row r="373" spans="3:4">
      <c r="C373" s="5"/>
      <c r="D373" s="5"/>
    </row>
    <row r="374" spans="3:4">
      <c r="C374" s="5"/>
      <c r="D374" s="5"/>
    </row>
    <row r="375" spans="3:4">
      <c r="C375" s="5"/>
      <c r="D375" s="5"/>
    </row>
    <row r="376" spans="3:4">
      <c r="C376" s="5"/>
      <c r="D376" s="5"/>
    </row>
    <row r="377" spans="3:4">
      <c r="C377" s="5"/>
      <c r="D377" s="5"/>
    </row>
    <row r="378" spans="3:4">
      <c r="C378" s="5"/>
      <c r="D378" s="5"/>
    </row>
    <row r="379" spans="3:4">
      <c r="C379" s="5"/>
      <c r="D379" s="5"/>
    </row>
    <row r="380" spans="3:4">
      <c r="C380" s="5"/>
      <c r="D380" s="5"/>
    </row>
    <row r="381" spans="3:4">
      <c r="C381" s="5"/>
      <c r="D381" s="5"/>
    </row>
    <row r="382" spans="3:4">
      <c r="C382" s="5"/>
      <c r="D382" s="5"/>
    </row>
    <row r="383" spans="3:4">
      <c r="C383" s="5"/>
      <c r="D383" s="5"/>
    </row>
    <row r="384" spans="3:4">
      <c r="C384" s="5"/>
      <c r="D384" s="5"/>
    </row>
    <row r="385" spans="3:4">
      <c r="C385" s="5"/>
      <c r="D385" s="5"/>
    </row>
    <row r="386" spans="3:4">
      <c r="C386" s="5"/>
      <c r="D386" s="5"/>
    </row>
    <row r="387" spans="3:4">
      <c r="C387" s="5"/>
      <c r="D387" s="5"/>
    </row>
    <row r="388" spans="3:4">
      <c r="C388" s="5"/>
      <c r="D388" s="5"/>
    </row>
    <row r="389" spans="3:4">
      <c r="C389" s="5"/>
      <c r="D389" s="5"/>
    </row>
    <row r="390" spans="3:4">
      <c r="C390" s="5"/>
      <c r="D390" s="5"/>
    </row>
    <row r="391" spans="3:4">
      <c r="C391" s="5"/>
      <c r="D391" s="5"/>
    </row>
    <row r="392" spans="3:4">
      <c r="C392" s="5"/>
      <c r="D392" s="5"/>
    </row>
    <row r="393" spans="3:4">
      <c r="C393" s="5"/>
      <c r="D393" s="5"/>
    </row>
    <row r="394" spans="3:4">
      <c r="C394" s="5"/>
      <c r="D394" s="5"/>
    </row>
    <row r="395" spans="3:4">
      <c r="C395" s="5"/>
      <c r="D395" s="5"/>
    </row>
    <row r="396" spans="3:4">
      <c r="C396" s="5"/>
      <c r="D396" s="5"/>
    </row>
    <row r="397" spans="3:4">
      <c r="C397" s="5"/>
      <c r="D397" s="5"/>
    </row>
    <row r="398" spans="3:4">
      <c r="C398" s="5"/>
      <c r="D398" s="5"/>
    </row>
    <row r="399" spans="3:4">
      <c r="C399" s="5"/>
      <c r="D399" s="5"/>
    </row>
    <row r="400" spans="3:4">
      <c r="C400" s="5"/>
      <c r="D400" s="5"/>
    </row>
    <row r="401" spans="3:4">
      <c r="C401" s="5"/>
      <c r="D401" s="5"/>
    </row>
    <row r="402" spans="3:4">
      <c r="C402" s="5"/>
      <c r="D402" s="5"/>
    </row>
    <row r="403" spans="3:4">
      <c r="C403" s="5"/>
      <c r="D403" s="5"/>
    </row>
    <row r="404" spans="3:4">
      <c r="C404" s="5"/>
      <c r="D404" s="5"/>
    </row>
    <row r="405" spans="3:4">
      <c r="C405" s="5"/>
      <c r="D405" s="5"/>
    </row>
    <row r="406" spans="3:4">
      <c r="C406" s="5"/>
      <c r="D406" s="5"/>
    </row>
    <row r="407" spans="3:4">
      <c r="C407" s="5"/>
      <c r="D407" s="5"/>
    </row>
    <row r="408" spans="3:4">
      <c r="C408" s="5"/>
      <c r="D408" s="5"/>
    </row>
    <row r="409" spans="3:4">
      <c r="C409" s="5"/>
      <c r="D409" s="5"/>
    </row>
    <row r="410" spans="3:4">
      <c r="C410" s="5"/>
      <c r="D410" s="5"/>
    </row>
    <row r="411" spans="3:4">
      <c r="C411" s="5"/>
      <c r="D411" s="5"/>
    </row>
    <row r="412" spans="3:4">
      <c r="C412" s="5"/>
      <c r="D412" s="5"/>
    </row>
    <row r="413" spans="3:4">
      <c r="C413" s="5"/>
      <c r="D413" s="5"/>
    </row>
    <row r="414" spans="3:4">
      <c r="C414" s="5"/>
      <c r="D414" s="5"/>
    </row>
    <row r="415" spans="3:4">
      <c r="C415" s="5"/>
      <c r="D415" s="5"/>
    </row>
    <row r="416" spans="3:4">
      <c r="C416" s="5"/>
      <c r="D416" s="5"/>
    </row>
    <row r="417" spans="3:4">
      <c r="C417" s="5"/>
      <c r="D417" s="5"/>
    </row>
    <row r="418" spans="3:4">
      <c r="C418" s="5"/>
      <c r="D418" s="5"/>
    </row>
    <row r="419" spans="3:4">
      <c r="C419" s="5"/>
      <c r="D419" s="5"/>
    </row>
    <row r="420" spans="3:4">
      <c r="C420" s="5"/>
      <c r="D420" s="5"/>
    </row>
    <row r="421" spans="3:4">
      <c r="C421" s="5"/>
      <c r="D421" s="5"/>
    </row>
    <row r="422" spans="3:4">
      <c r="C422" s="5"/>
      <c r="D422" s="5"/>
    </row>
    <row r="423" spans="3:4">
      <c r="C423" s="5"/>
      <c r="D423" s="5"/>
    </row>
    <row r="424" spans="3:4">
      <c r="C424" s="5"/>
      <c r="D424" s="5"/>
    </row>
    <row r="425" spans="3:4">
      <c r="C425" s="5"/>
      <c r="D425" s="5"/>
    </row>
    <row r="426" spans="3:4">
      <c r="C426" s="5"/>
      <c r="D426" s="5"/>
    </row>
    <row r="427" spans="3:4">
      <c r="C427" s="5"/>
      <c r="D427" s="5"/>
    </row>
    <row r="428" spans="3:4">
      <c r="C428" s="5"/>
      <c r="D428" s="5"/>
    </row>
    <row r="429" spans="3:4">
      <c r="C429" s="5"/>
      <c r="D429" s="5"/>
    </row>
    <row r="430" spans="3:4">
      <c r="C430" s="5"/>
      <c r="D430" s="5"/>
    </row>
    <row r="431" spans="3:4">
      <c r="C431" s="5"/>
      <c r="D431" s="5"/>
    </row>
    <row r="432" spans="3:4">
      <c r="C432" s="5"/>
      <c r="D432" s="5"/>
    </row>
    <row r="433" spans="3:4">
      <c r="C433" s="5"/>
      <c r="D433" s="5"/>
    </row>
    <row r="434" spans="3:4">
      <c r="C434" s="5"/>
      <c r="D434" s="5"/>
    </row>
    <row r="435" spans="3:4">
      <c r="C435" s="5"/>
      <c r="D435" s="5"/>
    </row>
    <row r="436" spans="3:4">
      <c r="C436" s="5"/>
      <c r="D436" s="5"/>
    </row>
    <row r="437" spans="3:4">
      <c r="C437" s="5"/>
      <c r="D437" s="5"/>
    </row>
    <row r="438" spans="3:4">
      <c r="C438" s="5"/>
      <c r="D438" s="5"/>
    </row>
    <row r="439" spans="3:4">
      <c r="C439" s="5"/>
      <c r="D439" s="5"/>
    </row>
    <row r="440" spans="3:4">
      <c r="C440" s="5"/>
      <c r="D440" s="5"/>
    </row>
    <row r="441" spans="3:4">
      <c r="C441" s="5"/>
      <c r="D441" s="5"/>
    </row>
    <row r="442" spans="3:4">
      <c r="C442" s="5"/>
      <c r="D442" s="5"/>
    </row>
    <row r="443" spans="3:4">
      <c r="C443" s="5"/>
      <c r="D443" s="5"/>
    </row>
    <row r="444" spans="3:4">
      <c r="C444" s="5"/>
      <c r="D444" s="5"/>
    </row>
    <row r="445" spans="3:4">
      <c r="C445" s="5"/>
      <c r="D445" s="5"/>
    </row>
    <row r="446" spans="3:4">
      <c r="C446" s="5"/>
      <c r="D446" s="5"/>
    </row>
    <row r="447" spans="3:4">
      <c r="C447" s="5"/>
      <c r="D447" s="5"/>
    </row>
    <row r="448" spans="3:4">
      <c r="C448" s="5"/>
      <c r="D448" s="5"/>
    </row>
    <row r="449" spans="3:4">
      <c r="C449" s="5"/>
      <c r="D449" s="5"/>
    </row>
    <row r="450" spans="3:4">
      <c r="C450" s="5"/>
      <c r="D450" s="5"/>
    </row>
    <row r="451" spans="3:4">
      <c r="C451" s="5"/>
      <c r="D451" s="5"/>
    </row>
    <row r="452" spans="3:4">
      <c r="C452" s="5"/>
      <c r="D452" s="5"/>
    </row>
    <row r="453" spans="3:4">
      <c r="C453" s="5"/>
      <c r="D453" s="5"/>
    </row>
    <row r="454" spans="3:4">
      <c r="C454" s="5"/>
      <c r="D454" s="5"/>
    </row>
    <row r="455" spans="3:4">
      <c r="C455" s="5"/>
      <c r="D455" s="5"/>
    </row>
    <row r="456" spans="3:4">
      <c r="C456" s="5"/>
      <c r="D456" s="5"/>
    </row>
    <row r="457" spans="3:4">
      <c r="C457" s="5"/>
      <c r="D457" s="5"/>
    </row>
    <row r="458" spans="3:4">
      <c r="C458" s="5"/>
      <c r="D458" s="5"/>
    </row>
    <row r="459" spans="3:4">
      <c r="C459" s="5"/>
      <c r="D459" s="5"/>
    </row>
    <row r="460" spans="3:4">
      <c r="C460" s="5"/>
      <c r="D460" s="5"/>
    </row>
    <row r="461" spans="3:4">
      <c r="C461" s="5"/>
      <c r="D461" s="5"/>
    </row>
    <row r="462" spans="3:4">
      <c r="C462" s="5"/>
      <c r="D462" s="5"/>
    </row>
    <row r="463" spans="3:4">
      <c r="C463" s="5"/>
      <c r="D463" s="5"/>
    </row>
    <row r="464" spans="3:4">
      <c r="C464" s="5"/>
      <c r="D464" s="5"/>
    </row>
    <row r="465" spans="3:4">
      <c r="C465" s="5"/>
      <c r="D465" s="5"/>
    </row>
    <row r="466" spans="3:4">
      <c r="C466" s="5"/>
      <c r="D466" s="5"/>
    </row>
    <row r="467" spans="3:4">
      <c r="C467" s="5"/>
      <c r="D467" s="5"/>
    </row>
    <row r="468" spans="3:4">
      <c r="C468" s="5"/>
      <c r="D468" s="5"/>
    </row>
    <row r="469" spans="3:4">
      <c r="C469" s="5"/>
      <c r="D469" s="5"/>
    </row>
    <row r="470" spans="3:4">
      <c r="C470" s="5"/>
      <c r="D470" s="5"/>
    </row>
    <row r="471" spans="3:4">
      <c r="C471" s="5"/>
      <c r="D471" s="5"/>
    </row>
    <row r="472" spans="3:4">
      <c r="C472" s="5"/>
      <c r="D472" s="5"/>
    </row>
    <row r="473" spans="3:4">
      <c r="C473" s="5"/>
      <c r="D473" s="5"/>
    </row>
    <row r="474" spans="3:4">
      <c r="C474" s="5"/>
      <c r="D474" s="5"/>
    </row>
    <row r="475" spans="3:4">
      <c r="C475" s="5"/>
      <c r="D475" s="5"/>
    </row>
    <row r="476" spans="3:4">
      <c r="C476" s="5"/>
      <c r="D476" s="5"/>
    </row>
    <row r="477" spans="3:4">
      <c r="C477" s="5"/>
      <c r="D477" s="5"/>
    </row>
    <row r="478" spans="3:4">
      <c r="C478" s="5"/>
      <c r="D478" s="5"/>
    </row>
    <row r="479" spans="3:4">
      <c r="C479" s="5"/>
      <c r="D479" s="5"/>
    </row>
    <row r="480" spans="3:4">
      <c r="C480" s="5"/>
      <c r="D480" s="5"/>
    </row>
    <row r="481" spans="3:4">
      <c r="C481" s="5"/>
      <c r="D481" s="5"/>
    </row>
    <row r="482" spans="3:4">
      <c r="C482" s="5"/>
      <c r="D482" s="5"/>
    </row>
    <row r="483" spans="3:4">
      <c r="C483" s="5"/>
      <c r="D483" s="5"/>
    </row>
    <row r="484" spans="3:4">
      <c r="C484" s="5"/>
      <c r="D484" s="5"/>
    </row>
    <row r="485" spans="3:4">
      <c r="C485" s="5"/>
      <c r="D485" s="5"/>
    </row>
    <row r="486" spans="3:4">
      <c r="C486" s="5"/>
      <c r="D486" s="5"/>
    </row>
    <row r="487" spans="3:4">
      <c r="C487" s="5"/>
      <c r="D487" s="5"/>
    </row>
    <row r="488" spans="3:4">
      <c r="C488" s="5"/>
      <c r="D488" s="5"/>
    </row>
    <row r="489" spans="3:4">
      <c r="C489" s="5"/>
      <c r="D489" s="5"/>
    </row>
    <row r="490" spans="3:4">
      <c r="C490" s="5"/>
      <c r="D490" s="5"/>
    </row>
    <row r="491" spans="3:4">
      <c r="C491" s="5"/>
      <c r="D491" s="5"/>
    </row>
    <row r="492" spans="3:4">
      <c r="C492" s="5"/>
      <c r="D492" s="5"/>
    </row>
    <row r="493" spans="3:4">
      <c r="C493" s="5"/>
      <c r="D493" s="5"/>
    </row>
    <row r="494" spans="3:4">
      <c r="C494" s="5"/>
      <c r="D494" s="5"/>
    </row>
    <row r="495" spans="3:4">
      <c r="C495" s="5"/>
      <c r="D495" s="5"/>
    </row>
    <row r="496" spans="3:4">
      <c r="C496" s="5"/>
      <c r="D496" s="5"/>
    </row>
    <row r="497" spans="3:4">
      <c r="C497" s="5"/>
      <c r="D497" s="5"/>
    </row>
    <row r="498" spans="3:4">
      <c r="C498" s="5"/>
      <c r="D498" s="5"/>
    </row>
    <row r="499" spans="3:4">
      <c r="C499" s="5"/>
      <c r="D499" s="5"/>
    </row>
    <row r="500" spans="3:4">
      <c r="C500" s="5"/>
      <c r="D500" s="5"/>
    </row>
    <row r="501" spans="3:4">
      <c r="C501" s="5"/>
      <c r="D501" s="5"/>
    </row>
    <row r="502" spans="3:4">
      <c r="C502" s="5"/>
      <c r="D502" s="5"/>
    </row>
    <row r="503" spans="3:4">
      <c r="C503" s="5"/>
      <c r="D503" s="5"/>
    </row>
    <row r="504" spans="3:4">
      <c r="C504" s="5"/>
      <c r="D504" s="5"/>
    </row>
    <row r="505" spans="3:4">
      <c r="C505" s="5"/>
      <c r="D505" s="5"/>
    </row>
    <row r="506" spans="3:4">
      <c r="C506" s="5"/>
      <c r="D506" s="5"/>
    </row>
    <row r="507" spans="3:4">
      <c r="C507" s="5"/>
      <c r="D507" s="5"/>
    </row>
    <row r="508" spans="3:4">
      <c r="C508" s="5"/>
      <c r="D508" s="5"/>
    </row>
    <row r="509" spans="3:4">
      <c r="C509" s="5"/>
      <c r="D509" s="5"/>
    </row>
    <row r="510" spans="3:4">
      <c r="C510" s="5"/>
      <c r="D510" s="5"/>
    </row>
    <row r="511" spans="3:4">
      <c r="C511" s="5"/>
      <c r="D511" s="5"/>
    </row>
    <row r="512" spans="3:4">
      <c r="C512" s="5"/>
      <c r="D512" s="5"/>
    </row>
    <row r="513" spans="3:4">
      <c r="C513" s="5"/>
      <c r="D513" s="5"/>
    </row>
    <row r="514" spans="3:4">
      <c r="C514" s="5"/>
      <c r="D514" s="5"/>
    </row>
    <row r="515" spans="3:4">
      <c r="C515" s="5"/>
      <c r="D515" s="5"/>
    </row>
    <row r="516" spans="3:4">
      <c r="C516" s="5"/>
      <c r="D516" s="5"/>
    </row>
    <row r="517" spans="3:4">
      <c r="C517" s="5"/>
      <c r="D517" s="5"/>
    </row>
    <row r="518" spans="3:4">
      <c r="C518" s="5"/>
      <c r="D518" s="5"/>
    </row>
    <row r="519" spans="3:4">
      <c r="C519" s="5"/>
      <c r="D519" s="5"/>
    </row>
    <row r="520" spans="3:4">
      <c r="C520" s="5"/>
      <c r="D520" s="5"/>
    </row>
    <row r="521" spans="3:4">
      <c r="C521" s="5"/>
      <c r="D521" s="5"/>
    </row>
    <row r="522" spans="3:4">
      <c r="C522" s="5"/>
      <c r="D522" s="5"/>
    </row>
    <row r="523" spans="3:4">
      <c r="C523" s="5"/>
      <c r="D523" s="5"/>
    </row>
    <row r="524" spans="3:4">
      <c r="C524" s="5"/>
      <c r="D524" s="5"/>
    </row>
    <row r="525" spans="3:4">
      <c r="C525" s="5"/>
      <c r="D525" s="5"/>
    </row>
    <row r="526" spans="3:4">
      <c r="C526" s="5"/>
      <c r="D526" s="5"/>
    </row>
    <row r="527" spans="3:4">
      <c r="C527" s="5"/>
      <c r="D527" s="5"/>
    </row>
    <row r="528" spans="3:4">
      <c r="C528" s="5"/>
      <c r="D528" s="5"/>
    </row>
    <row r="529" spans="3:4">
      <c r="C529" s="5"/>
      <c r="D529" s="5"/>
    </row>
    <row r="530" spans="3:4">
      <c r="C530" s="5"/>
      <c r="D530" s="5"/>
    </row>
    <row r="531" spans="3:4">
      <c r="C531" s="5"/>
      <c r="D531" s="5"/>
    </row>
    <row r="532" spans="3:4">
      <c r="C532" s="5"/>
      <c r="D532" s="5"/>
    </row>
    <row r="533" spans="3:4">
      <c r="C533" s="5"/>
      <c r="D533" s="5"/>
    </row>
    <row r="534" spans="3:4">
      <c r="C534" s="5"/>
      <c r="D534" s="5"/>
    </row>
    <row r="535" spans="3:4">
      <c r="C535" s="5"/>
      <c r="D535" s="5"/>
    </row>
    <row r="536" spans="3:4">
      <c r="C536" s="5"/>
      <c r="D536" s="5"/>
    </row>
    <row r="537" spans="3:4">
      <c r="C537" s="5"/>
      <c r="D537" s="5"/>
    </row>
    <row r="538" spans="3:4">
      <c r="C538" s="5"/>
      <c r="D538" s="5"/>
    </row>
    <row r="539" spans="3:4">
      <c r="C539" s="5"/>
      <c r="D539" s="5"/>
    </row>
    <row r="540" spans="3:4">
      <c r="C540" s="5"/>
      <c r="D540" s="5"/>
    </row>
    <row r="541" spans="3:4">
      <c r="C541" s="5"/>
      <c r="D541" s="5"/>
    </row>
    <row r="542" spans="3:4">
      <c r="C542" s="5"/>
      <c r="D542" s="5"/>
    </row>
    <row r="543" spans="3:4">
      <c r="C543" s="5"/>
      <c r="D543" s="5"/>
    </row>
    <row r="544" spans="3:4">
      <c r="C544" s="5"/>
      <c r="D544" s="5"/>
    </row>
    <row r="545" spans="3:4">
      <c r="C545" s="5"/>
      <c r="D545" s="5"/>
    </row>
    <row r="546" spans="3:4">
      <c r="C546" s="5"/>
      <c r="D546" s="5"/>
    </row>
    <row r="547" spans="3:4">
      <c r="C547" s="5"/>
      <c r="D547" s="5"/>
    </row>
    <row r="548" spans="3:4">
      <c r="C548" s="5"/>
      <c r="D548" s="5"/>
    </row>
    <row r="549" spans="3:4">
      <c r="C549" s="5"/>
      <c r="D549" s="5"/>
    </row>
    <row r="550" spans="3:4">
      <c r="C550" s="5"/>
      <c r="D550" s="5"/>
    </row>
    <row r="551" spans="3:4">
      <c r="C551" s="5"/>
      <c r="D551" s="5"/>
    </row>
    <row r="552" spans="3:4">
      <c r="C552" s="5"/>
      <c r="D552" s="5"/>
    </row>
    <row r="553" spans="3:4">
      <c r="C553" s="5"/>
      <c r="D553" s="5"/>
    </row>
    <row r="554" spans="3:4">
      <c r="C554" s="5"/>
      <c r="D554" s="5"/>
    </row>
    <row r="555" spans="3:4">
      <c r="C555" s="5"/>
      <c r="D555" s="5"/>
    </row>
    <row r="556" spans="3:4">
      <c r="C556" s="5"/>
      <c r="D556" s="5"/>
    </row>
    <row r="557" spans="3:4">
      <c r="C557" s="5"/>
      <c r="D557" s="5"/>
    </row>
    <row r="558" spans="3:4">
      <c r="C558" s="5"/>
      <c r="D558" s="5"/>
    </row>
    <row r="559" spans="3:4">
      <c r="C559" s="5"/>
      <c r="D559" s="5"/>
    </row>
    <row r="560" spans="3:4">
      <c r="C560" s="5"/>
      <c r="D560" s="5"/>
    </row>
    <row r="561" spans="3:4">
      <c r="C561" s="5"/>
      <c r="D561" s="5"/>
    </row>
    <row r="562" spans="3:4">
      <c r="C562" s="5"/>
      <c r="D562" s="5"/>
    </row>
    <row r="563" spans="3:4">
      <c r="C563" s="5"/>
      <c r="D563" s="5"/>
    </row>
    <row r="564" spans="3:4">
      <c r="C564" s="5"/>
      <c r="D564" s="5"/>
    </row>
    <row r="565" spans="3:4">
      <c r="C565" s="5"/>
      <c r="D565" s="5"/>
    </row>
    <row r="566" spans="3:4">
      <c r="C566" s="5"/>
      <c r="D566" s="5"/>
    </row>
    <row r="567" spans="3:4">
      <c r="C567" s="5"/>
      <c r="D567" s="5"/>
    </row>
    <row r="568" spans="3:4">
      <c r="C568" s="5"/>
      <c r="D568" s="5"/>
    </row>
    <row r="569" spans="3:4">
      <c r="C569" s="5"/>
      <c r="D569" s="5"/>
    </row>
    <row r="570" spans="3:4">
      <c r="C570" s="5"/>
      <c r="D570" s="5"/>
    </row>
    <row r="571" spans="3:4">
      <c r="C571" s="5"/>
      <c r="D571" s="5"/>
    </row>
    <row r="572" spans="3:4">
      <c r="C572" s="5"/>
      <c r="D572" s="5"/>
    </row>
    <row r="573" spans="3:4">
      <c r="C573" s="5"/>
      <c r="D573" s="5"/>
    </row>
    <row r="574" spans="3:4">
      <c r="C574" s="5"/>
      <c r="D574" s="5"/>
    </row>
    <row r="575" spans="3:4">
      <c r="C575" s="5"/>
      <c r="D575" s="5"/>
    </row>
    <row r="576" spans="3:4">
      <c r="C576" s="5"/>
      <c r="D576" s="5"/>
    </row>
    <row r="577" spans="3:4">
      <c r="C577" s="5"/>
      <c r="D577" s="5"/>
    </row>
    <row r="578" spans="3:4">
      <c r="C578" s="5"/>
      <c r="D578" s="5"/>
    </row>
    <row r="579" spans="3:4">
      <c r="C579" s="5"/>
      <c r="D579" s="5"/>
    </row>
    <row r="580" spans="3:4">
      <c r="C580" s="5"/>
      <c r="D580" s="5"/>
    </row>
    <row r="581" spans="3:4">
      <c r="C581" s="5"/>
      <c r="D581" s="5"/>
    </row>
    <row r="582" spans="3:4">
      <c r="C582" s="5"/>
      <c r="D582" s="5"/>
    </row>
    <row r="583" spans="3:4">
      <c r="C583" s="5"/>
      <c r="D583" s="5"/>
    </row>
    <row r="584" spans="3:4">
      <c r="C584" s="5"/>
      <c r="D584" s="5"/>
    </row>
    <row r="585" spans="3:4">
      <c r="C585" s="5"/>
      <c r="D585" s="5"/>
    </row>
    <row r="586" spans="3:4">
      <c r="C586" s="5"/>
      <c r="D586" s="5"/>
    </row>
    <row r="587" spans="3:4">
      <c r="C587" s="5"/>
      <c r="D587" s="5"/>
    </row>
    <row r="588" spans="3:4">
      <c r="C588" s="5"/>
      <c r="D588" s="5"/>
    </row>
    <row r="589" spans="3:4">
      <c r="C589" s="5"/>
      <c r="D589" s="5"/>
    </row>
    <row r="590" spans="3:4">
      <c r="C590" s="5"/>
      <c r="D590" s="5"/>
    </row>
    <row r="591" spans="3:4">
      <c r="C591" s="5"/>
      <c r="D591" s="5"/>
    </row>
    <row r="592" spans="3:4">
      <c r="C592" s="5"/>
      <c r="D592" s="5"/>
    </row>
    <row r="593" spans="3:4">
      <c r="C593" s="5"/>
      <c r="D593" s="5"/>
    </row>
    <row r="594" spans="3:4">
      <c r="C594" s="5"/>
      <c r="D594" s="5"/>
    </row>
    <row r="595" spans="3:4">
      <c r="C595" s="5"/>
      <c r="D595" s="5"/>
    </row>
    <row r="596" spans="3:4">
      <c r="C596" s="5"/>
      <c r="D596" s="5"/>
    </row>
    <row r="597" spans="3:4">
      <c r="C597" s="5"/>
      <c r="D597" s="5"/>
    </row>
    <row r="598" spans="3:4">
      <c r="C598" s="5"/>
      <c r="D598" s="5"/>
    </row>
    <row r="599" spans="3:4">
      <c r="C599" s="5"/>
      <c r="D599" s="5"/>
    </row>
    <row r="600" spans="3:4">
      <c r="C600" s="5"/>
      <c r="D600" s="5"/>
    </row>
    <row r="601" spans="3:4">
      <c r="C601" s="5"/>
      <c r="D601" s="5"/>
    </row>
    <row r="602" spans="3:4">
      <c r="C602" s="5"/>
      <c r="D602" s="5"/>
    </row>
    <row r="603" spans="3:4">
      <c r="C603" s="5"/>
      <c r="D603" s="5"/>
    </row>
    <row r="604" spans="3:4">
      <c r="C604" s="5"/>
      <c r="D604" s="5"/>
    </row>
    <row r="605" spans="3:4">
      <c r="C605" s="5"/>
      <c r="D605" s="5"/>
    </row>
    <row r="606" spans="3:4">
      <c r="C606" s="5"/>
      <c r="D606" s="5"/>
    </row>
    <row r="607" spans="3:4">
      <c r="C607" s="5"/>
      <c r="D607" s="5"/>
    </row>
    <row r="608" spans="3:4">
      <c r="C608" s="5"/>
      <c r="D608" s="5"/>
    </row>
    <row r="609" spans="3:4">
      <c r="C609" s="5"/>
      <c r="D609" s="5"/>
    </row>
    <row r="610" spans="3:4">
      <c r="C610" s="5"/>
      <c r="D610" s="5"/>
    </row>
    <row r="611" spans="3:4">
      <c r="C611" s="5"/>
      <c r="D611" s="5"/>
    </row>
    <row r="612" spans="3:4">
      <c r="C612" s="5"/>
      <c r="D612" s="5"/>
    </row>
    <row r="613" spans="3:4">
      <c r="C613" s="5"/>
      <c r="D613" s="5"/>
    </row>
    <row r="614" spans="3:4">
      <c r="C614" s="5"/>
      <c r="D614" s="5"/>
    </row>
    <row r="615" spans="3:4">
      <c r="C615" s="5"/>
      <c r="D615" s="5"/>
    </row>
    <row r="616" spans="3:4">
      <c r="C616" s="5"/>
      <c r="D616" s="5"/>
    </row>
    <row r="617" spans="3:4">
      <c r="C617" s="5"/>
      <c r="D617" s="5"/>
    </row>
    <row r="618" spans="3:4">
      <c r="C618" s="5"/>
      <c r="D618" s="5"/>
    </row>
    <row r="619" spans="3:4">
      <c r="C619" s="5"/>
      <c r="D619" s="5"/>
    </row>
    <row r="620" spans="3:4">
      <c r="C620" s="5"/>
      <c r="D620" s="5"/>
    </row>
    <row r="621" spans="3:4">
      <c r="C621" s="5"/>
      <c r="D621" s="5"/>
    </row>
    <row r="622" spans="3:4">
      <c r="C622" s="5"/>
      <c r="D622" s="5"/>
    </row>
    <row r="623" spans="3:4">
      <c r="C623" s="5"/>
      <c r="D623" s="5"/>
    </row>
    <row r="624" spans="3:4">
      <c r="C624" s="5"/>
      <c r="D624" s="5"/>
    </row>
    <row r="625" spans="3:4">
      <c r="C625" s="5"/>
      <c r="D625" s="5"/>
    </row>
    <row r="626" spans="3:4">
      <c r="C626" s="5"/>
      <c r="D626" s="5"/>
    </row>
    <row r="627" spans="3:4">
      <c r="C627" s="5"/>
      <c r="D627" s="5"/>
    </row>
    <row r="628" spans="3:4">
      <c r="C628" s="5"/>
      <c r="D628" s="5"/>
    </row>
    <row r="629" spans="3:4">
      <c r="C629" s="5"/>
      <c r="D629" s="5"/>
    </row>
    <row r="630" spans="3:4">
      <c r="C630" s="5"/>
      <c r="D630" s="5"/>
    </row>
    <row r="631" spans="3:4">
      <c r="C631" s="5"/>
      <c r="D631" s="5"/>
    </row>
    <row r="632" spans="3:4">
      <c r="C632" s="5"/>
      <c r="D632" s="5"/>
    </row>
    <row r="633" spans="3:4">
      <c r="C633" s="5"/>
      <c r="D633" s="5"/>
    </row>
    <row r="634" spans="3:4">
      <c r="C634" s="5"/>
      <c r="D634" s="5"/>
    </row>
    <row r="635" spans="3:4">
      <c r="C635" s="5"/>
      <c r="D635" s="5"/>
    </row>
    <row r="636" spans="3:4">
      <c r="C636" s="5"/>
      <c r="D636" s="5"/>
    </row>
    <row r="637" spans="3:4">
      <c r="C637" s="5"/>
      <c r="D637" s="5"/>
    </row>
    <row r="638" spans="3:4">
      <c r="C638" s="5"/>
      <c r="D638" s="5"/>
    </row>
    <row r="639" spans="3:4">
      <c r="C639" s="5"/>
      <c r="D639" s="5"/>
    </row>
    <row r="640" spans="3:4">
      <c r="C640" s="5"/>
      <c r="D640" s="5"/>
    </row>
    <row r="641" spans="3:4">
      <c r="C641" s="5"/>
      <c r="D641" s="5"/>
    </row>
    <row r="642" spans="3:4">
      <c r="C642" s="5"/>
      <c r="D642" s="5"/>
    </row>
    <row r="643" spans="3:4">
      <c r="C643" s="5"/>
      <c r="D643" s="5"/>
    </row>
    <row r="644" spans="3:4">
      <c r="C644" s="5"/>
      <c r="D644" s="5"/>
    </row>
    <row r="645" spans="3:4">
      <c r="C645" s="5"/>
      <c r="D645" s="5"/>
    </row>
    <row r="646" spans="3:4">
      <c r="C646" s="5"/>
      <c r="D646" s="5"/>
    </row>
    <row r="647" spans="3:4">
      <c r="C647" s="5"/>
      <c r="D647" s="5"/>
    </row>
    <row r="648" spans="3:4">
      <c r="C648" s="5"/>
      <c r="D648" s="5"/>
    </row>
    <row r="649" spans="3:4">
      <c r="C649" s="5"/>
      <c r="D649" s="5"/>
    </row>
    <row r="650" spans="3:4">
      <c r="C650" s="5"/>
      <c r="D650" s="5"/>
    </row>
    <row r="651" spans="3:4">
      <c r="C651" s="5"/>
      <c r="D651" s="5"/>
    </row>
    <row r="652" spans="3:4">
      <c r="C652" s="5"/>
      <c r="D652" s="5"/>
    </row>
    <row r="653" spans="3:4">
      <c r="C653" s="5"/>
      <c r="D653" s="5"/>
    </row>
    <row r="654" spans="3:4">
      <c r="C654" s="5"/>
      <c r="D654" s="5"/>
    </row>
    <row r="655" spans="3:4">
      <c r="C655" s="5"/>
      <c r="D655" s="5"/>
    </row>
    <row r="656" spans="3:4">
      <c r="C656" s="5"/>
      <c r="D656" s="5"/>
    </row>
    <row r="657" spans="3:4">
      <c r="C657" s="5"/>
      <c r="D657" s="5"/>
    </row>
    <row r="658" spans="3:4">
      <c r="C658" s="5"/>
      <c r="D658" s="5"/>
    </row>
    <row r="659" spans="3:4">
      <c r="C659" s="5"/>
      <c r="D659" s="5"/>
    </row>
    <row r="660" spans="3:4">
      <c r="C660" s="5"/>
      <c r="D660" s="5"/>
    </row>
    <row r="661" spans="3:4">
      <c r="C661" s="5"/>
      <c r="D661" s="5"/>
    </row>
    <row r="662" spans="3:4">
      <c r="C662" s="5"/>
      <c r="D662" s="5"/>
    </row>
    <row r="663" spans="3:4">
      <c r="C663" s="5"/>
      <c r="D663" s="5"/>
    </row>
    <row r="664" spans="3:4">
      <c r="C664" s="5"/>
      <c r="D664" s="5"/>
    </row>
    <row r="665" spans="3:4">
      <c r="C665" s="5"/>
      <c r="D665" s="5"/>
    </row>
    <row r="666" spans="3:4">
      <c r="C666" s="5"/>
      <c r="D666" s="5"/>
    </row>
    <row r="667" spans="3:4">
      <c r="C667" s="5"/>
      <c r="D667" s="5"/>
    </row>
    <row r="668" spans="3:4">
      <c r="C668" s="5"/>
      <c r="D668" s="5"/>
    </row>
    <row r="669" spans="3:4">
      <c r="C669" s="5"/>
      <c r="D669" s="5"/>
    </row>
    <row r="670" spans="3:4">
      <c r="C670" s="5"/>
      <c r="D670" s="5"/>
    </row>
    <row r="671" spans="3:4">
      <c r="C671" s="5"/>
      <c r="D671" s="5"/>
    </row>
    <row r="672" spans="3:4">
      <c r="C672" s="5"/>
      <c r="D672" s="5"/>
    </row>
    <row r="673" spans="3:4">
      <c r="C673" s="5"/>
      <c r="D673" s="5"/>
    </row>
    <row r="674" spans="3:4">
      <c r="C674" s="5"/>
      <c r="D674" s="5"/>
    </row>
    <row r="675" spans="3:4">
      <c r="C675" s="5"/>
      <c r="D675" s="5"/>
    </row>
    <row r="676" spans="3:4">
      <c r="C676" s="5"/>
      <c r="D676" s="5"/>
    </row>
    <row r="677" spans="3:4">
      <c r="C677" s="5"/>
      <c r="D677" s="5"/>
    </row>
    <row r="678" spans="3:4">
      <c r="C678" s="5"/>
      <c r="D678" s="5"/>
    </row>
    <row r="679" spans="3:4">
      <c r="C679" s="5"/>
      <c r="D679" s="5"/>
    </row>
    <row r="680" spans="3:4">
      <c r="C680" s="5"/>
      <c r="D680" s="5"/>
    </row>
    <row r="681" spans="3:4">
      <c r="C681" s="5"/>
      <c r="D681" s="5"/>
    </row>
    <row r="682" spans="3:4">
      <c r="C682" s="5"/>
      <c r="D682" s="5"/>
    </row>
    <row r="683" spans="3:4">
      <c r="C683" s="5"/>
      <c r="D683" s="5"/>
    </row>
    <row r="684" spans="3:4">
      <c r="C684" s="5"/>
      <c r="D684" s="5"/>
    </row>
    <row r="685" spans="3:4">
      <c r="C685" s="5"/>
      <c r="D685" s="5"/>
    </row>
    <row r="686" spans="3:4">
      <c r="C686" s="5"/>
      <c r="D686" s="5"/>
    </row>
    <row r="687" spans="3:4">
      <c r="C687" s="5"/>
      <c r="D687" s="5"/>
    </row>
    <row r="688" spans="3:4">
      <c r="C688" s="5"/>
      <c r="D688" s="5"/>
    </row>
    <row r="689" spans="3:4">
      <c r="C689" s="5"/>
      <c r="D689" s="5"/>
    </row>
    <row r="690" spans="3:4">
      <c r="C690" s="5"/>
      <c r="D690" s="5"/>
    </row>
    <row r="691" spans="3:4">
      <c r="C691" s="5"/>
      <c r="D691" s="5"/>
    </row>
    <row r="692" spans="3:4">
      <c r="C692" s="5"/>
      <c r="D692" s="5"/>
    </row>
    <row r="693" spans="3:4">
      <c r="C693" s="5"/>
      <c r="D693" s="5"/>
    </row>
    <row r="694" spans="3:4">
      <c r="C694" s="5"/>
      <c r="D694" s="5"/>
    </row>
    <row r="695" spans="3:4">
      <c r="C695" s="5"/>
      <c r="D695" s="5"/>
    </row>
    <row r="696" spans="3:4">
      <c r="C696" s="5"/>
      <c r="D696" s="5"/>
    </row>
    <row r="697" spans="3:4">
      <c r="C697" s="5"/>
      <c r="D697" s="5"/>
    </row>
    <row r="698" spans="3:4">
      <c r="C698" s="5"/>
      <c r="D698" s="5"/>
    </row>
    <row r="699" spans="3:4">
      <c r="C699" s="5"/>
      <c r="D699" s="5"/>
    </row>
    <row r="700" spans="3:4">
      <c r="C700" s="5"/>
      <c r="D700" s="5"/>
    </row>
    <row r="701" spans="3:4">
      <c r="C701" s="5"/>
      <c r="D701" s="5"/>
    </row>
    <row r="702" spans="3:4">
      <c r="C702" s="5"/>
      <c r="D702" s="5"/>
    </row>
    <row r="703" spans="3:4">
      <c r="C703" s="5"/>
      <c r="D703" s="5"/>
    </row>
    <row r="704" spans="3:4">
      <c r="C704" s="5"/>
      <c r="D704" s="5"/>
    </row>
    <row r="705" spans="3:4">
      <c r="C705" s="5"/>
      <c r="D705" s="5"/>
    </row>
    <row r="706" spans="3:4">
      <c r="C706" s="5"/>
      <c r="D706" s="5"/>
    </row>
    <row r="707" spans="3:4">
      <c r="C707" s="5"/>
      <c r="D707" s="5"/>
    </row>
    <row r="708" spans="3:4">
      <c r="C708" s="5"/>
      <c r="D708" s="5"/>
    </row>
    <row r="709" spans="3:4">
      <c r="C709" s="5"/>
      <c r="D709" s="5"/>
    </row>
    <row r="710" spans="3:4">
      <c r="C710" s="5"/>
      <c r="D710" s="5"/>
    </row>
    <row r="711" spans="3:4">
      <c r="C711" s="5"/>
      <c r="D711" s="5"/>
    </row>
    <row r="712" spans="3:4">
      <c r="C712" s="5"/>
      <c r="D712" s="5"/>
    </row>
    <row r="713" spans="3:4">
      <c r="C713" s="5"/>
      <c r="D713" s="5"/>
    </row>
    <row r="714" spans="3:4">
      <c r="C714" s="5"/>
      <c r="D714" s="5"/>
    </row>
    <row r="715" spans="3:4">
      <c r="C715" s="5"/>
      <c r="D715" s="5"/>
    </row>
    <row r="716" spans="3:4">
      <c r="C716" s="5"/>
      <c r="D716" s="5"/>
    </row>
    <row r="717" spans="3:4">
      <c r="C717" s="5"/>
      <c r="D717" s="5"/>
    </row>
    <row r="718" spans="3:4">
      <c r="C718" s="5"/>
      <c r="D718" s="5"/>
    </row>
    <row r="719" spans="3:4">
      <c r="C719" s="5"/>
      <c r="D719" s="5"/>
    </row>
    <row r="720" spans="3:4">
      <c r="C720" s="5"/>
      <c r="D720" s="5"/>
    </row>
    <row r="721" spans="3:4">
      <c r="C721" s="5"/>
      <c r="D721" s="5"/>
    </row>
    <row r="722" spans="3:4">
      <c r="C722" s="5"/>
      <c r="D722" s="5"/>
    </row>
    <row r="723" spans="3:4">
      <c r="C723" s="5"/>
      <c r="D723" s="5"/>
    </row>
    <row r="724" spans="3:4">
      <c r="C724" s="5"/>
      <c r="D724" s="5"/>
    </row>
    <row r="725" spans="3:4">
      <c r="C725" s="5"/>
      <c r="D725" s="5"/>
    </row>
    <row r="726" spans="3:4">
      <c r="C726" s="5"/>
      <c r="D726" s="5"/>
    </row>
    <row r="727" spans="3:4">
      <c r="C727" s="5"/>
      <c r="D727" s="5"/>
    </row>
    <row r="728" spans="3:4">
      <c r="C728" s="5"/>
      <c r="D728" s="5"/>
    </row>
    <row r="729" spans="3:4">
      <c r="C729" s="5"/>
      <c r="D729" s="5"/>
    </row>
    <row r="730" spans="3:4">
      <c r="C730" s="5"/>
      <c r="D730" s="5"/>
    </row>
    <row r="731" spans="3:4">
      <c r="C731" s="5"/>
      <c r="D731" s="5"/>
    </row>
    <row r="732" spans="3:4">
      <c r="C732" s="5"/>
      <c r="D732" s="5"/>
    </row>
    <row r="733" spans="3:4">
      <c r="C733" s="5"/>
      <c r="D733" s="5"/>
    </row>
    <row r="734" spans="3:4">
      <c r="C734" s="5"/>
      <c r="D734" s="5"/>
    </row>
    <row r="735" spans="3:4">
      <c r="C735" s="5"/>
      <c r="D735" s="5"/>
    </row>
    <row r="736" spans="3:4">
      <c r="C736" s="5"/>
      <c r="D736" s="5"/>
    </row>
    <row r="737" spans="3:4">
      <c r="C737" s="5"/>
      <c r="D737" s="5"/>
    </row>
    <row r="738" spans="3:4">
      <c r="C738" s="5"/>
      <c r="D738" s="5"/>
    </row>
    <row r="739" spans="3:4">
      <c r="C739" s="5"/>
      <c r="D739" s="5"/>
    </row>
    <row r="740" spans="3:4">
      <c r="C740" s="5"/>
      <c r="D740" s="5"/>
    </row>
    <row r="741" spans="3:4">
      <c r="C741" s="5"/>
      <c r="D741" s="5"/>
    </row>
    <row r="742" spans="3:4">
      <c r="C742" s="5"/>
      <c r="D742" s="5"/>
    </row>
    <row r="743" spans="3:4">
      <c r="C743" s="5"/>
      <c r="D743" s="5"/>
    </row>
    <row r="744" spans="3:4">
      <c r="C744" s="5"/>
      <c r="D744" s="5"/>
    </row>
    <row r="745" spans="3:4">
      <c r="C745" s="5"/>
      <c r="D745" s="5"/>
    </row>
    <row r="746" spans="3:4">
      <c r="C746" s="5"/>
      <c r="D746" s="5"/>
    </row>
    <row r="747" spans="3:4">
      <c r="C747" s="5"/>
      <c r="D747" s="5"/>
    </row>
    <row r="748" spans="3:4">
      <c r="C748" s="5"/>
      <c r="D748" s="5"/>
    </row>
    <row r="749" spans="3:4">
      <c r="C749" s="5"/>
      <c r="D749" s="5"/>
    </row>
    <row r="750" spans="3:4">
      <c r="C750" s="5"/>
      <c r="D750" s="5"/>
    </row>
    <row r="751" spans="3:4">
      <c r="C751" s="5"/>
      <c r="D751" s="5"/>
    </row>
    <row r="752" spans="3:4">
      <c r="C752" s="5"/>
      <c r="D752" s="5"/>
    </row>
    <row r="753" spans="3:4">
      <c r="C753" s="5"/>
      <c r="D753" s="5"/>
    </row>
    <row r="754" spans="3:4">
      <c r="C754" s="5"/>
      <c r="D754" s="5"/>
    </row>
    <row r="755" spans="3:4">
      <c r="C755" s="5"/>
      <c r="D755" s="5"/>
    </row>
    <row r="756" spans="3:4">
      <c r="C756" s="5"/>
      <c r="D756" s="5"/>
    </row>
    <row r="757" spans="3:4">
      <c r="C757" s="5"/>
      <c r="D757" s="5"/>
    </row>
    <row r="758" spans="3:4">
      <c r="C758" s="5"/>
      <c r="D758" s="5"/>
    </row>
    <row r="759" spans="3:4">
      <c r="C759" s="5"/>
      <c r="D759" s="5"/>
    </row>
    <row r="760" spans="3:4">
      <c r="C760" s="5"/>
      <c r="D760" s="5"/>
    </row>
    <row r="761" spans="3:4">
      <c r="C761" s="5"/>
      <c r="D761" s="5"/>
    </row>
    <row r="762" spans="3:4">
      <c r="C762" s="5"/>
      <c r="D762" s="5"/>
    </row>
    <row r="763" spans="3:4">
      <c r="C763" s="5"/>
      <c r="D763" s="5"/>
    </row>
    <row r="764" spans="3:4">
      <c r="C764" s="5"/>
      <c r="D764" s="5"/>
    </row>
    <row r="765" spans="3:4">
      <c r="C765" s="5"/>
      <c r="D765" s="5"/>
    </row>
    <row r="766" spans="3:4">
      <c r="C766" s="5"/>
      <c r="D766" s="5"/>
    </row>
    <row r="767" spans="3:4">
      <c r="C767" s="5"/>
      <c r="D767" s="5"/>
    </row>
    <row r="768" spans="3:4">
      <c r="C768" s="5"/>
      <c r="D768" s="5"/>
    </row>
    <row r="769" spans="3:4">
      <c r="C769" s="5"/>
      <c r="D769" s="5"/>
    </row>
    <row r="770" spans="3:4">
      <c r="C770" s="5"/>
      <c r="D770" s="5"/>
    </row>
    <row r="771" spans="3:4">
      <c r="C771" s="5"/>
      <c r="D771" s="5"/>
    </row>
    <row r="772" spans="3:4">
      <c r="C772" s="5"/>
      <c r="D772" s="5"/>
    </row>
    <row r="773" spans="3:4">
      <c r="C773" s="5"/>
      <c r="D773" s="5"/>
    </row>
    <row r="774" spans="3:4">
      <c r="C774" s="5"/>
      <c r="D774" s="5"/>
    </row>
    <row r="775" spans="3:4">
      <c r="C775" s="5"/>
      <c r="D775" s="5"/>
    </row>
    <row r="776" spans="3:4">
      <c r="C776" s="5"/>
      <c r="D776" s="5"/>
    </row>
    <row r="777" spans="3:4">
      <c r="C777" s="5"/>
      <c r="D777" s="5"/>
    </row>
    <row r="778" spans="3:4">
      <c r="C778" s="5"/>
      <c r="D778" s="5"/>
    </row>
    <row r="779" spans="3:4">
      <c r="C779" s="5"/>
      <c r="D779" s="5"/>
    </row>
    <row r="780" spans="3:4">
      <c r="C780" s="5"/>
      <c r="D780" s="5"/>
    </row>
    <row r="781" spans="3:4">
      <c r="C781" s="5"/>
      <c r="D781" s="5"/>
    </row>
    <row r="782" spans="3:4">
      <c r="C782" s="5"/>
      <c r="D782" s="5"/>
    </row>
    <row r="783" spans="3:4">
      <c r="C783" s="5"/>
      <c r="D783" s="5"/>
    </row>
    <row r="784" spans="3:4">
      <c r="C784" s="5"/>
      <c r="D784" s="5"/>
    </row>
    <row r="785" spans="3:4">
      <c r="C785" s="5"/>
      <c r="D785" s="5"/>
    </row>
    <row r="786" spans="3:4">
      <c r="C786" s="5"/>
      <c r="D786" s="5"/>
    </row>
    <row r="787" spans="3:4">
      <c r="C787" s="5"/>
      <c r="D787" s="5"/>
    </row>
    <row r="788" spans="3:4">
      <c r="C788" s="5"/>
      <c r="D788" s="5"/>
    </row>
    <row r="789" spans="3:4">
      <c r="C789" s="5"/>
      <c r="D789" s="5"/>
    </row>
    <row r="790" spans="3:4">
      <c r="C790" s="5"/>
      <c r="D790" s="5"/>
    </row>
    <row r="791" spans="3:4">
      <c r="C791" s="5"/>
      <c r="D791" s="5"/>
    </row>
    <row r="792" spans="3:4">
      <c r="C792" s="5"/>
      <c r="D792" s="5"/>
    </row>
    <row r="793" spans="3:4">
      <c r="C793" s="5"/>
      <c r="D793" s="5"/>
    </row>
    <row r="794" spans="3:4">
      <c r="C794" s="5"/>
      <c r="D794" s="5"/>
    </row>
    <row r="795" spans="3:4">
      <c r="C795" s="5"/>
      <c r="D795" s="5"/>
    </row>
    <row r="796" spans="3:4">
      <c r="C796" s="5"/>
      <c r="D796" s="5"/>
    </row>
    <row r="797" spans="3:4">
      <c r="C797" s="5"/>
      <c r="D797" s="5"/>
    </row>
    <row r="798" spans="3:4">
      <c r="C798" s="5"/>
      <c r="D798" s="5"/>
    </row>
    <row r="799" spans="3:4">
      <c r="C799" s="5"/>
      <c r="D799" s="5"/>
    </row>
    <row r="800" spans="3:4">
      <c r="C800" s="5"/>
      <c r="D800" s="5"/>
    </row>
    <row r="801" spans="3:4">
      <c r="C801" s="5"/>
      <c r="D801" s="5"/>
    </row>
    <row r="802" spans="3:4">
      <c r="C802" s="5"/>
      <c r="D802" s="5"/>
    </row>
    <row r="803" spans="3:4">
      <c r="C803" s="5"/>
      <c r="D803" s="5"/>
    </row>
    <row r="804" spans="3:4">
      <c r="C804" s="5"/>
      <c r="D804" s="5"/>
    </row>
    <row r="805" spans="3:4">
      <c r="C805" s="5"/>
      <c r="D805" s="5"/>
    </row>
    <row r="806" spans="3:4">
      <c r="C806" s="5"/>
      <c r="D806" s="5"/>
    </row>
    <row r="807" spans="3:4">
      <c r="C807" s="5"/>
      <c r="D807" s="5"/>
    </row>
    <row r="808" spans="3:4">
      <c r="C808" s="5"/>
      <c r="D808" s="5"/>
    </row>
    <row r="809" spans="3:4">
      <c r="C809" s="5"/>
      <c r="D809" s="5"/>
    </row>
    <row r="810" spans="3:4">
      <c r="C810" s="5"/>
      <c r="D810" s="5"/>
    </row>
    <row r="811" spans="3:4">
      <c r="C811" s="5"/>
      <c r="D811" s="5"/>
    </row>
    <row r="812" spans="3:4">
      <c r="C812" s="5"/>
      <c r="D812" s="5"/>
    </row>
    <row r="813" spans="3:4">
      <c r="C813" s="5"/>
      <c r="D813" s="5"/>
    </row>
    <row r="814" spans="3:4">
      <c r="C814" s="5"/>
      <c r="D814" s="5"/>
    </row>
    <row r="815" spans="3:4">
      <c r="C815" s="5"/>
      <c r="D815" s="5"/>
    </row>
    <row r="816" spans="3:4">
      <c r="C816" s="5"/>
      <c r="D816" s="5"/>
    </row>
    <row r="817" spans="3:4">
      <c r="C817" s="5"/>
      <c r="D817" s="5"/>
    </row>
    <row r="818" spans="3:4">
      <c r="C818" s="5"/>
      <c r="D818" s="5"/>
    </row>
    <row r="819" spans="3:4">
      <c r="C819" s="5"/>
      <c r="D819" s="5"/>
    </row>
    <row r="820" spans="3:4">
      <c r="C820" s="5"/>
      <c r="D820" s="5"/>
    </row>
    <row r="821" spans="3:4">
      <c r="C821" s="5"/>
      <c r="D821" s="5"/>
    </row>
    <row r="822" spans="3:4">
      <c r="C822" s="5"/>
      <c r="D822" s="5"/>
    </row>
    <row r="823" spans="3:4">
      <c r="C823" s="5"/>
      <c r="D823" s="5"/>
    </row>
    <row r="824" spans="3:4">
      <c r="C824" s="5"/>
      <c r="D824" s="5"/>
    </row>
    <row r="825" spans="3:4">
      <c r="C825" s="5"/>
      <c r="D825" s="5"/>
    </row>
    <row r="826" spans="3:4">
      <c r="C826" s="5"/>
      <c r="D826" s="5"/>
    </row>
    <row r="827" spans="3:4">
      <c r="C827" s="5"/>
      <c r="D827" s="5"/>
    </row>
    <row r="828" spans="3:4">
      <c r="C828" s="5"/>
      <c r="D828" s="5"/>
    </row>
    <row r="829" spans="3:4">
      <c r="C829" s="5"/>
      <c r="D829" s="5"/>
    </row>
    <row r="830" spans="3:4">
      <c r="C830" s="5"/>
      <c r="D830" s="5"/>
    </row>
    <row r="831" spans="3:4">
      <c r="C831" s="5"/>
      <c r="D831" s="5"/>
    </row>
    <row r="832" spans="3:4">
      <c r="C832" s="5"/>
      <c r="D832" s="5"/>
    </row>
    <row r="833" spans="3:4">
      <c r="C833" s="5"/>
      <c r="D833" s="5"/>
    </row>
    <row r="834" spans="3:4">
      <c r="C834" s="5"/>
      <c r="D834" s="5"/>
    </row>
    <row r="835" spans="3:4">
      <c r="C835" s="5"/>
      <c r="D835" s="5"/>
    </row>
    <row r="836" spans="3:4">
      <c r="C836" s="5"/>
      <c r="D836" s="5"/>
    </row>
    <row r="837" spans="3:4">
      <c r="C837" s="5"/>
      <c r="D837" s="5"/>
    </row>
    <row r="838" spans="3:4">
      <c r="C838" s="5"/>
      <c r="D838" s="5"/>
    </row>
    <row r="839" spans="3:4">
      <c r="C839" s="5"/>
      <c r="D839" s="5"/>
    </row>
    <row r="840" spans="3:4">
      <c r="C840" s="5"/>
      <c r="D840" s="5"/>
    </row>
    <row r="841" spans="3:4">
      <c r="C841" s="5"/>
      <c r="D841" s="5"/>
    </row>
    <row r="842" spans="3:4">
      <c r="C842" s="5"/>
      <c r="D842" s="5"/>
    </row>
    <row r="843" spans="3:4">
      <c r="C843" s="5"/>
      <c r="D843" s="5"/>
    </row>
    <row r="844" spans="3:4">
      <c r="C844" s="5"/>
      <c r="D844" s="5"/>
    </row>
    <row r="845" spans="3:4">
      <c r="C845" s="5"/>
      <c r="D845" s="5"/>
    </row>
    <row r="846" spans="3:4">
      <c r="C846" s="5"/>
      <c r="D846" s="5"/>
    </row>
    <row r="847" spans="3:4">
      <c r="C847" s="5"/>
      <c r="D847" s="5"/>
    </row>
    <row r="848" spans="3:4">
      <c r="C848" s="5"/>
      <c r="D848" s="5"/>
    </row>
    <row r="849" spans="3:4">
      <c r="C849" s="5"/>
      <c r="D849" s="5"/>
    </row>
    <row r="850" spans="3:4">
      <c r="C850" s="5"/>
      <c r="D850" s="5"/>
    </row>
    <row r="851" spans="3:4">
      <c r="C851" s="5"/>
      <c r="D851" s="5"/>
    </row>
    <row r="852" spans="3:4">
      <c r="C852" s="5"/>
      <c r="D852" s="5"/>
    </row>
    <row r="853" spans="3:4">
      <c r="C853" s="5"/>
      <c r="D853" s="5"/>
    </row>
    <row r="854" spans="3:4">
      <c r="C854" s="5"/>
      <c r="D854" s="5"/>
    </row>
    <row r="855" spans="3:4">
      <c r="C855" s="5"/>
      <c r="D855" s="5"/>
    </row>
    <row r="856" spans="3:4">
      <c r="C856" s="5"/>
      <c r="D856" s="5"/>
    </row>
    <row r="857" spans="3:4">
      <c r="C857" s="5"/>
      <c r="D857" s="5"/>
    </row>
    <row r="858" spans="3:4">
      <c r="C858" s="5"/>
      <c r="D858" s="5"/>
    </row>
    <row r="859" spans="3:4">
      <c r="C859" s="5"/>
      <c r="D859" s="5"/>
    </row>
    <row r="860" spans="3:4">
      <c r="C860" s="5"/>
      <c r="D860" s="5"/>
    </row>
    <row r="861" spans="3:4">
      <c r="C861" s="5"/>
      <c r="D861" s="5"/>
    </row>
    <row r="862" spans="3:4">
      <c r="C862" s="5"/>
      <c r="D862" s="5"/>
    </row>
    <row r="863" spans="3:4">
      <c r="C863" s="5"/>
      <c r="D863" s="5"/>
    </row>
    <row r="864" spans="3:4">
      <c r="C864" s="5"/>
      <c r="D864" s="5"/>
    </row>
    <row r="865" spans="3:4">
      <c r="C865" s="5"/>
      <c r="D865" s="5"/>
    </row>
    <row r="866" spans="3:4">
      <c r="C866" s="5"/>
      <c r="D866" s="5"/>
    </row>
    <row r="867" spans="3:4">
      <c r="C867" s="5"/>
      <c r="D867" s="5"/>
    </row>
    <row r="868" spans="3:4">
      <c r="C868" s="5"/>
      <c r="D868" s="5"/>
    </row>
    <row r="869" spans="3:4">
      <c r="C869" s="5"/>
      <c r="D869" s="5"/>
    </row>
    <row r="870" spans="3:4">
      <c r="C870" s="5"/>
      <c r="D870" s="5"/>
    </row>
    <row r="871" spans="3:4">
      <c r="C871" s="5"/>
      <c r="D871" s="5"/>
    </row>
    <row r="872" spans="3:4">
      <c r="C872" s="5"/>
      <c r="D872" s="5"/>
    </row>
    <row r="873" spans="3:4">
      <c r="C873" s="5"/>
      <c r="D873" s="5"/>
    </row>
    <row r="874" spans="3:4">
      <c r="C874" s="5"/>
      <c r="D874" s="5"/>
    </row>
    <row r="875" spans="3:4">
      <c r="C875" s="5"/>
      <c r="D875" s="5"/>
    </row>
    <row r="876" spans="3:4">
      <c r="C876" s="5"/>
      <c r="D876" s="5"/>
    </row>
    <row r="877" spans="3:4">
      <c r="C877" s="5"/>
      <c r="D877" s="5"/>
    </row>
    <row r="878" spans="3:4">
      <c r="C878" s="5"/>
      <c r="D878" s="5"/>
    </row>
    <row r="879" spans="3:4">
      <c r="C879" s="5"/>
      <c r="D879" s="5"/>
    </row>
    <row r="880" spans="3:4">
      <c r="C880" s="5"/>
      <c r="D880" s="5"/>
    </row>
    <row r="881" spans="3:4">
      <c r="C881" s="5"/>
      <c r="D881" s="5"/>
    </row>
    <row r="882" spans="3:4">
      <c r="C882" s="5"/>
      <c r="D882" s="5"/>
    </row>
    <row r="883" spans="3:4">
      <c r="C883" s="5"/>
      <c r="D883" s="5"/>
    </row>
    <row r="884" spans="3:4">
      <c r="C884" s="5"/>
      <c r="D884" s="5"/>
    </row>
    <row r="885" spans="3:4">
      <c r="C885" s="5"/>
      <c r="D885" s="5"/>
    </row>
    <row r="886" spans="3:4">
      <c r="C886" s="5"/>
      <c r="D886" s="5"/>
    </row>
    <row r="887" spans="3:4">
      <c r="C887" s="5"/>
      <c r="D887" s="5"/>
    </row>
    <row r="888" spans="3:4">
      <c r="C888" s="5"/>
      <c r="D888" s="5"/>
    </row>
    <row r="889" spans="3:4">
      <c r="C889" s="5"/>
      <c r="D889" s="5"/>
    </row>
    <row r="890" spans="3:4">
      <c r="C890" s="5"/>
      <c r="D890" s="5"/>
    </row>
    <row r="891" spans="3:4">
      <c r="C891" s="5"/>
      <c r="D891" s="5"/>
    </row>
    <row r="892" spans="3:4">
      <c r="C892" s="5"/>
      <c r="D892" s="5"/>
    </row>
    <row r="893" spans="3:4">
      <c r="C893" s="5"/>
      <c r="D893" s="5"/>
    </row>
    <row r="894" spans="3:4">
      <c r="C894" s="5"/>
      <c r="D894" s="5"/>
    </row>
    <row r="895" spans="3:4">
      <c r="C895" s="5"/>
      <c r="D895" s="5"/>
    </row>
    <row r="896" spans="3:4">
      <c r="C896" s="5"/>
      <c r="D896" s="5"/>
    </row>
    <row r="897" spans="3:4">
      <c r="C897" s="5"/>
      <c r="D897" s="5"/>
    </row>
    <row r="898" spans="3:4">
      <c r="C898" s="5"/>
      <c r="D898" s="5"/>
    </row>
    <row r="899" spans="3:4">
      <c r="C899" s="5"/>
      <c r="D899" s="5"/>
    </row>
    <row r="900" spans="3:4">
      <c r="C900" s="5"/>
      <c r="D900" s="5"/>
    </row>
    <row r="901" spans="3:4">
      <c r="C901" s="5"/>
      <c r="D901" s="5"/>
    </row>
    <row r="902" spans="3:4">
      <c r="C902" s="5"/>
      <c r="D902" s="5"/>
    </row>
    <row r="903" spans="3:4">
      <c r="C903" s="5"/>
      <c r="D903" s="5"/>
    </row>
    <row r="904" spans="3:4">
      <c r="C904" s="5"/>
      <c r="D904" s="5"/>
    </row>
    <row r="905" spans="3:4">
      <c r="C905" s="5"/>
      <c r="D905" s="5"/>
    </row>
    <row r="906" spans="3:4">
      <c r="C906" s="5"/>
      <c r="D906" s="5"/>
    </row>
    <row r="907" spans="3:4">
      <c r="C907" s="5"/>
      <c r="D907" s="5"/>
    </row>
    <row r="908" spans="3:4">
      <c r="C908" s="5"/>
      <c r="D908" s="5"/>
    </row>
    <row r="909" spans="3:4">
      <c r="C909" s="5"/>
      <c r="D909" s="5"/>
    </row>
    <row r="910" spans="3:4">
      <c r="C910" s="5"/>
      <c r="D910" s="5"/>
    </row>
    <row r="911" spans="3:4">
      <c r="C911" s="5"/>
      <c r="D911" s="5"/>
    </row>
    <row r="912" spans="3:4">
      <c r="C912" s="5"/>
      <c r="D912" s="5"/>
    </row>
    <row r="913" spans="3:4">
      <c r="C913" s="5"/>
      <c r="D913" s="5"/>
    </row>
    <row r="914" spans="3:4">
      <c r="C914" s="5"/>
      <c r="D914" s="5"/>
    </row>
    <row r="915" spans="3:4">
      <c r="C915" s="5"/>
      <c r="D915" s="5"/>
    </row>
    <row r="916" spans="3:4">
      <c r="C916" s="5"/>
      <c r="D916" s="5"/>
    </row>
    <row r="917" spans="3:4">
      <c r="C917" s="5"/>
      <c r="D917" s="5"/>
    </row>
    <row r="918" spans="3:4">
      <c r="C918" s="5"/>
      <c r="D918" s="5"/>
    </row>
    <row r="919" spans="3:4">
      <c r="C919" s="5"/>
      <c r="D919" s="5"/>
    </row>
    <row r="920" spans="3:4">
      <c r="C920" s="5"/>
      <c r="D920" s="5"/>
    </row>
    <row r="921" spans="3:4">
      <c r="C921" s="5"/>
      <c r="D921" s="5"/>
    </row>
    <row r="922" spans="3:4">
      <c r="C922" s="5"/>
      <c r="D922" s="5"/>
    </row>
    <row r="923" spans="3:4">
      <c r="C923" s="5"/>
      <c r="D923" s="5"/>
    </row>
    <row r="924" spans="3:4">
      <c r="C924" s="5"/>
      <c r="D924" s="5"/>
    </row>
    <row r="925" spans="3:4">
      <c r="C925" s="5"/>
      <c r="D925" s="5"/>
    </row>
    <row r="926" spans="3:4">
      <c r="C926" s="5"/>
      <c r="D926" s="5"/>
    </row>
    <row r="927" spans="3:4">
      <c r="C927" s="5"/>
      <c r="D927" s="5"/>
    </row>
    <row r="928" spans="3:4">
      <c r="C928" s="5"/>
      <c r="D928" s="5"/>
    </row>
    <row r="929" spans="3:4">
      <c r="C929" s="5"/>
      <c r="D929" s="5"/>
    </row>
    <row r="930" spans="3:4">
      <c r="C930" s="5"/>
      <c r="D930" s="5"/>
    </row>
    <row r="931" spans="3:4">
      <c r="C931" s="5"/>
      <c r="D931" s="5"/>
    </row>
    <row r="932" spans="3:4">
      <c r="C932" s="5"/>
      <c r="D932" s="5"/>
    </row>
    <row r="933" spans="3:4">
      <c r="C933" s="5"/>
      <c r="D933" s="5"/>
    </row>
    <row r="934" spans="3:4">
      <c r="C934" s="5"/>
      <c r="D934" s="5"/>
    </row>
    <row r="935" spans="3:4">
      <c r="C935" s="5"/>
      <c r="D935" s="5"/>
    </row>
    <row r="936" spans="3:4">
      <c r="C936" s="5"/>
      <c r="D936" s="5"/>
    </row>
    <row r="937" spans="3:4">
      <c r="C937" s="5"/>
      <c r="D937" s="5"/>
    </row>
    <row r="938" spans="3:4">
      <c r="C938" s="5"/>
      <c r="D938" s="5"/>
    </row>
    <row r="939" spans="3:4">
      <c r="C939" s="5"/>
      <c r="D939" s="5"/>
    </row>
    <row r="940" spans="3:4">
      <c r="C940" s="5"/>
      <c r="D940" s="5"/>
    </row>
    <row r="941" spans="3:4">
      <c r="C941" s="5"/>
      <c r="D941" s="5"/>
    </row>
    <row r="942" spans="3:4">
      <c r="C942" s="5"/>
      <c r="D942" s="5"/>
    </row>
    <row r="943" spans="3:4">
      <c r="C943" s="5"/>
      <c r="D943" s="5"/>
    </row>
    <row r="944" spans="3:4">
      <c r="C944" s="5"/>
      <c r="D944" s="5"/>
    </row>
    <row r="945" spans="3:4">
      <c r="C945" s="5"/>
      <c r="D945" s="5"/>
    </row>
    <row r="946" spans="3:4">
      <c r="C946" s="5"/>
      <c r="D946" s="5"/>
    </row>
    <row r="947" spans="3:4">
      <c r="C947" s="5"/>
      <c r="D947" s="5"/>
    </row>
    <row r="948" spans="3:4">
      <c r="C948" s="5"/>
      <c r="D948" s="5"/>
    </row>
    <row r="949" spans="3:4">
      <c r="C949" s="5"/>
      <c r="D949" s="5"/>
    </row>
    <row r="950" spans="3:4">
      <c r="C950" s="5"/>
      <c r="D950" s="5"/>
    </row>
    <row r="951" spans="3:4">
      <c r="C951" s="5"/>
      <c r="D951" s="5"/>
    </row>
    <row r="952" spans="3:4">
      <c r="C952" s="5"/>
      <c r="D952" s="5"/>
    </row>
    <row r="953" spans="3:4">
      <c r="C953" s="5"/>
      <c r="D953" s="5"/>
    </row>
    <row r="954" spans="3:4">
      <c r="C954" s="5"/>
      <c r="D954" s="5"/>
    </row>
    <row r="955" spans="3:4">
      <c r="C955" s="5"/>
      <c r="D955" s="5"/>
    </row>
    <row r="956" spans="3:4">
      <c r="C956" s="5"/>
      <c r="D956" s="5"/>
    </row>
    <row r="957" spans="3:4">
      <c r="C957" s="5"/>
      <c r="D957" s="5"/>
    </row>
    <row r="958" spans="3:4">
      <c r="C958" s="5"/>
      <c r="D958" s="5"/>
    </row>
    <row r="959" spans="3:4">
      <c r="C959" s="5"/>
      <c r="D959" s="5"/>
    </row>
    <row r="960" spans="3:4">
      <c r="C960" s="5"/>
      <c r="D960" s="5"/>
    </row>
    <row r="961" spans="3:4">
      <c r="C961" s="5"/>
      <c r="D961" s="5"/>
    </row>
    <row r="962" spans="3:4">
      <c r="C962" s="5"/>
      <c r="D962" s="5"/>
    </row>
    <row r="963" spans="3:4">
      <c r="C963" s="5"/>
      <c r="D963" s="5"/>
    </row>
    <row r="964" spans="3:4">
      <c r="C964" s="5"/>
      <c r="D964" s="5"/>
    </row>
    <row r="965" spans="3:4">
      <c r="C965" s="5"/>
      <c r="D965" s="5"/>
    </row>
    <row r="966" spans="3:4">
      <c r="C966" s="5"/>
      <c r="D966" s="5"/>
    </row>
    <row r="967" spans="3:4">
      <c r="C967" s="5"/>
      <c r="D967" s="5"/>
    </row>
    <row r="968" spans="3:4">
      <c r="C968" s="5"/>
      <c r="D968" s="5"/>
    </row>
    <row r="969" spans="3:4">
      <c r="C969" s="5"/>
      <c r="D969" s="5"/>
    </row>
    <row r="970" spans="3:4">
      <c r="C970" s="5"/>
      <c r="D970" s="5"/>
    </row>
    <row r="971" spans="3:4">
      <c r="C971" s="5"/>
      <c r="D971" s="5"/>
    </row>
    <row r="972" spans="3:4">
      <c r="C972" s="5"/>
      <c r="D972" s="5"/>
    </row>
    <row r="973" spans="3:4">
      <c r="C973" s="5"/>
      <c r="D973" s="5"/>
    </row>
    <row r="974" spans="3:4">
      <c r="C974" s="5"/>
      <c r="D974" s="5"/>
    </row>
    <row r="975" spans="3:4">
      <c r="C975" s="5"/>
      <c r="D975" s="5"/>
    </row>
    <row r="976" spans="3:4">
      <c r="C976" s="5"/>
      <c r="D976" s="5"/>
    </row>
    <row r="977" spans="3:4">
      <c r="C977" s="5"/>
      <c r="D977" s="5"/>
    </row>
    <row r="978" spans="3:4">
      <c r="C978" s="5"/>
      <c r="D978" s="5"/>
    </row>
    <row r="979" spans="3:4">
      <c r="C979" s="5"/>
      <c r="D979" s="5"/>
    </row>
    <row r="980" spans="3:4">
      <c r="C980" s="5"/>
      <c r="D980" s="5"/>
    </row>
    <row r="981" spans="3:4">
      <c r="C981" s="5"/>
      <c r="D981" s="5"/>
    </row>
    <row r="982" spans="3:4">
      <c r="C982" s="5"/>
      <c r="D982" s="5"/>
    </row>
    <row r="983" spans="3:4">
      <c r="C983" s="5"/>
      <c r="D983" s="5"/>
    </row>
    <row r="984" spans="3:4">
      <c r="C984" s="5"/>
      <c r="D984" s="5"/>
    </row>
    <row r="985" spans="3:4">
      <c r="C985" s="5"/>
      <c r="D985" s="5"/>
    </row>
    <row r="986" spans="3:4">
      <c r="C986" s="5"/>
      <c r="D986" s="5"/>
    </row>
    <row r="987" spans="3:4">
      <c r="C987" s="5"/>
      <c r="D987" s="5"/>
    </row>
    <row r="988" spans="3:4">
      <c r="C988" s="5"/>
      <c r="D988" s="5"/>
    </row>
    <row r="989" spans="3:4">
      <c r="C989" s="5"/>
      <c r="D989" s="5"/>
    </row>
    <row r="990" spans="3:4">
      <c r="C990" s="5"/>
      <c r="D990" s="5"/>
    </row>
    <row r="991" spans="3:4">
      <c r="C991" s="5"/>
      <c r="D991" s="5"/>
    </row>
    <row r="992" spans="3:4">
      <c r="C992" s="5"/>
      <c r="D992" s="5"/>
    </row>
    <row r="993" spans="3:4">
      <c r="C993" s="5"/>
      <c r="D993" s="5"/>
    </row>
    <row r="994" spans="3:4">
      <c r="C994" s="5"/>
      <c r="D994" s="5"/>
    </row>
    <row r="995" spans="3:4">
      <c r="C995" s="5"/>
      <c r="D995" s="5"/>
    </row>
    <row r="996" spans="3:4">
      <c r="C996" s="5"/>
      <c r="D996" s="5"/>
    </row>
    <row r="997" spans="3:4">
      <c r="C997" s="5"/>
      <c r="D997" s="5"/>
    </row>
    <row r="998" spans="3:4">
      <c r="C998" s="5"/>
      <c r="D998" s="5"/>
    </row>
    <row r="999" spans="3:4">
      <c r="C999" s="5"/>
      <c r="D999" s="5"/>
    </row>
    <row r="1000" spans="3:4">
      <c r="C1000" s="5"/>
      <c r="D1000" s="5"/>
    </row>
    <row r="1001" spans="3:4">
      <c r="C1001" s="5"/>
      <c r="D1001" s="5"/>
    </row>
    <row r="1002" spans="3:4">
      <c r="C1002" s="5"/>
      <c r="D1002" s="5"/>
    </row>
    <row r="1003" spans="3:4">
      <c r="C1003" s="5"/>
      <c r="D1003" s="5"/>
    </row>
    <row r="1004" spans="3:4">
      <c r="C1004" s="5"/>
      <c r="D1004" s="5"/>
    </row>
    <row r="1005" spans="3:4">
      <c r="C1005" s="5"/>
      <c r="D1005" s="5"/>
    </row>
    <row r="1006" spans="3:4">
      <c r="C1006" s="5"/>
      <c r="D1006" s="5"/>
    </row>
    <row r="1007" spans="3:4">
      <c r="C1007" s="5"/>
      <c r="D1007" s="5"/>
    </row>
    <row r="1008" spans="3:4">
      <c r="C1008" s="5"/>
      <c r="D1008" s="5"/>
    </row>
    <row r="1009" spans="3:4">
      <c r="C1009" s="5"/>
      <c r="D1009" s="5"/>
    </row>
    <row r="1010" spans="3:4">
      <c r="C1010" s="5"/>
      <c r="D1010" s="5"/>
    </row>
    <row r="1011" spans="3:4">
      <c r="C1011" s="5"/>
      <c r="D1011" s="5"/>
    </row>
    <row r="1012" spans="3:4">
      <c r="C1012" s="5"/>
      <c r="D1012" s="5"/>
    </row>
    <row r="1013" spans="3:4">
      <c r="C1013" s="5"/>
      <c r="D1013" s="5"/>
    </row>
    <row r="1014" spans="3:4">
      <c r="C1014" s="5"/>
      <c r="D1014" s="5"/>
    </row>
    <row r="1015" spans="3:4">
      <c r="C1015" s="5"/>
      <c r="D1015" s="5"/>
    </row>
    <row r="1016" spans="3:4">
      <c r="C1016" s="5"/>
      <c r="D1016" s="5"/>
    </row>
    <row r="1017" spans="3:4">
      <c r="C1017" s="5"/>
      <c r="D1017" s="5"/>
    </row>
    <row r="1018" spans="3:4">
      <c r="C1018" s="5"/>
      <c r="D1018" s="5"/>
    </row>
    <row r="1019" spans="3:4">
      <c r="C1019" s="5"/>
      <c r="D1019" s="5"/>
    </row>
    <row r="1020" spans="3:4">
      <c r="C1020" s="5"/>
      <c r="D1020" s="5"/>
    </row>
    <row r="1021" spans="3:4">
      <c r="C1021" s="5"/>
      <c r="D1021" s="5"/>
    </row>
    <row r="1022" spans="3:4">
      <c r="C1022" s="5"/>
      <c r="D1022" s="5"/>
    </row>
    <row r="1023" spans="3:4">
      <c r="C1023" s="5"/>
      <c r="D1023" s="5"/>
    </row>
    <row r="1024" spans="3:4">
      <c r="C1024" s="5"/>
      <c r="D1024" s="5"/>
    </row>
    <row r="1025" spans="3:4">
      <c r="C1025" s="5"/>
      <c r="D1025" s="5"/>
    </row>
    <row r="1026" spans="3:4">
      <c r="C1026" s="5"/>
      <c r="D1026" s="5"/>
    </row>
    <row r="1027" spans="3:4">
      <c r="C1027" s="5"/>
      <c r="D1027" s="5"/>
    </row>
    <row r="1028" spans="3:4">
      <c r="C1028" s="5"/>
      <c r="D1028" s="5"/>
    </row>
    <row r="1029" spans="3:4">
      <c r="C1029" s="5"/>
      <c r="D1029" s="5"/>
    </row>
    <row r="1030" spans="3:4">
      <c r="C1030" s="5"/>
      <c r="D1030" s="5"/>
    </row>
    <row r="1031" spans="3:4">
      <c r="C1031" s="5"/>
      <c r="D1031" s="5"/>
    </row>
    <row r="1032" spans="3:4">
      <c r="C1032" s="5"/>
      <c r="D1032" s="5"/>
    </row>
    <row r="1033" spans="3:4">
      <c r="C1033" s="5"/>
      <c r="D1033" s="5"/>
    </row>
    <row r="1034" spans="3:4">
      <c r="C1034" s="5"/>
      <c r="D1034" s="5"/>
    </row>
    <row r="1035" spans="3:4">
      <c r="C1035" s="5"/>
      <c r="D1035" s="5"/>
    </row>
    <row r="1036" spans="3:4">
      <c r="C1036" s="5"/>
      <c r="D1036" s="5"/>
    </row>
    <row r="1037" spans="3:4">
      <c r="C1037" s="5"/>
      <c r="D1037" s="5"/>
    </row>
    <row r="1038" spans="3:4">
      <c r="C1038" s="5"/>
      <c r="D1038" s="5"/>
    </row>
    <row r="1039" spans="3:4">
      <c r="C1039" s="5"/>
      <c r="D1039" s="5"/>
    </row>
    <row r="1040" spans="3:4">
      <c r="C1040" s="5"/>
      <c r="D1040" s="5"/>
    </row>
    <row r="1041" spans="3:4">
      <c r="C1041" s="5"/>
      <c r="D1041" s="5"/>
    </row>
    <row r="1042" spans="3:4">
      <c r="C1042" s="5"/>
      <c r="D1042" s="5"/>
    </row>
    <row r="1043" spans="3:4">
      <c r="C1043" s="5"/>
      <c r="D1043" s="5"/>
    </row>
    <row r="1044" spans="3:4">
      <c r="C1044" s="5"/>
      <c r="D1044" s="5"/>
    </row>
    <row r="1045" spans="3:4">
      <c r="C1045" s="5"/>
      <c r="D1045" s="5"/>
    </row>
    <row r="1046" spans="3:4">
      <c r="C1046" s="5"/>
      <c r="D1046" s="5"/>
    </row>
    <row r="1047" spans="3:4">
      <c r="C1047" s="5"/>
      <c r="D1047" s="5"/>
    </row>
    <row r="1048" spans="3:4">
      <c r="C1048" s="5"/>
      <c r="D1048" s="5"/>
    </row>
    <row r="1049" spans="3:4">
      <c r="C1049" s="5"/>
      <c r="D1049" s="5"/>
    </row>
    <row r="1050" spans="3:4">
      <c r="C1050" s="5"/>
      <c r="D1050" s="5"/>
    </row>
    <row r="1051" spans="3:4">
      <c r="C1051" s="5"/>
      <c r="D1051" s="5"/>
    </row>
    <row r="1052" spans="3:4">
      <c r="C1052" s="5"/>
      <c r="D1052" s="5"/>
    </row>
    <row r="1053" spans="3:4">
      <c r="C1053" s="5"/>
      <c r="D1053" s="5"/>
    </row>
    <row r="1054" spans="3:4">
      <c r="C1054" s="5"/>
      <c r="D1054" s="5"/>
    </row>
    <row r="1055" spans="3:4">
      <c r="C1055" s="5"/>
      <c r="D1055" s="5"/>
    </row>
    <row r="1056" spans="3:4">
      <c r="C1056" s="5"/>
      <c r="D1056" s="5"/>
    </row>
    <row r="1057" spans="3:4">
      <c r="C1057" s="5"/>
      <c r="D1057" s="5"/>
    </row>
    <row r="1058" spans="3:4">
      <c r="C1058" s="5"/>
      <c r="D1058" s="5"/>
    </row>
    <row r="1059" spans="3:4">
      <c r="C1059" s="5"/>
      <c r="D1059" s="5"/>
    </row>
    <row r="1060" spans="3:4">
      <c r="C1060" s="5"/>
      <c r="D1060" s="5"/>
    </row>
    <row r="1061" spans="3:4">
      <c r="C1061" s="5"/>
      <c r="D1061" s="5"/>
    </row>
    <row r="1062" spans="3:4">
      <c r="C1062" s="5"/>
      <c r="D1062" s="5"/>
    </row>
    <row r="1063" spans="3:4">
      <c r="C1063" s="5"/>
      <c r="D1063" s="5"/>
    </row>
    <row r="1064" spans="3:4">
      <c r="C1064" s="5"/>
      <c r="D1064" s="5"/>
    </row>
    <row r="1065" spans="3:4">
      <c r="C1065" s="5"/>
      <c r="D1065" s="5"/>
    </row>
    <row r="1066" spans="3:4">
      <c r="C1066" s="5"/>
      <c r="D1066" s="5"/>
    </row>
    <row r="1067" spans="3:4">
      <c r="C1067" s="5"/>
      <c r="D1067" s="5"/>
    </row>
    <row r="1068" spans="3:4">
      <c r="C1068" s="5"/>
      <c r="D1068" s="5"/>
    </row>
    <row r="1069" spans="3:4">
      <c r="C1069" s="5"/>
      <c r="D1069" s="5"/>
    </row>
    <row r="1070" spans="3:4">
      <c r="C1070" s="5"/>
      <c r="D1070" s="5"/>
    </row>
    <row r="1071" spans="3:4">
      <c r="C1071" s="5"/>
      <c r="D1071" s="5"/>
    </row>
    <row r="1072" spans="3:4">
      <c r="C1072" s="5"/>
      <c r="D1072" s="5"/>
    </row>
    <row r="1073" spans="3:4">
      <c r="C1073" s="5"/>
      <c r="D1073" s="5"/>
    </row>
    <row r="1074" spans="3:4">
      <c r="C1074" s="5"/>
      <c r="D1074" s="5"/>
    </row>
    <row r="1075" spans="3:4">
      <c r="C1075" s="5"/>
      <c r="D1075" s="5"/>
    </row>
    <row r="1076" spans="3:4">
      <c r="C1076" s="5"/>
      <c r="D1076" s="5"/>
    </row>
    <row r="1077" spans="3:4">
      <c r="C1077" s="5"/>
      <c r="D1077" s="5"/>
    </row>
    <row r="1078" spans="3:4">
      <c r="C1078" s="5"/>
      <c r="D1078" s="5"/>
    </row>
    <row r="1079" spans="3:4">
      <c r="C1079" s="5"/>
      <c r="D1079" s="5"/>
    </row>
    <row r="1080" spans="3:4">
      <c r="C1080" s="5"/>
      <c r="D1080" s="5"/>
    </row>
    <row r="1081" spans="3:4">
      <c r="C1081" s="5"/>
      <c r="D1081" s="5"/>
    </row>
    <row r="1082" spans="3:4">
      <c r="C1082" s="5"/>
      <c r="D1082" s="5"/>
    </row>
    <row r="1083" spans="3:4">
      <c r="C1083" s="5"/>
      <c r="D1083" s="5"/>
    </row>
    <row r="1084" spans="3:4">
      <c r="C1084" s="5"/>
      <c r="D1084" s="5"/>
    </row>
    <row r="1085" spans="3:4">
      <c r="C1085" s="5"/>
      <c r="D1085" s="5"/>
    </row>
    <row r="1086" spans="3:4">
      <c r="C1086" s="5"/>
      <c r="D1086" s="5"/>
    </row>
    <row r="1087" spans="3:4">
      <c r="C1087" s="5"/>
      <c r="D1087" s="5"/>
    </row>
    <row r="1088" spans="3:4">
      <c r="C1088" s="5"/>
      <c r="D1088" s="5"/>
    </row>
    <row r="1089" spans="3:4">
      <c r="C1089" s="5"/>
      <c r="D1089" s="5"/>
    </row>
    <row r="1090" spans="3:4">
      <c r="C1090" s="5"/>
      <c r="D1090" s="5"/>
    </row>
    <row r="1091" spans="3:4">
      <c r="C1091" s="5"/>
      <c r="D1091" s="5"/>
    </row>
    <row r="1092" spans="3:4">
      <c r="C1092" s="5"/>
      <c r="D1092" s="5"/>
    </row>
    <row r="1093" spans="3:4">
      <c r="C1093" s="5"/>
      <c r="D1093" s="5"/>
    </row>
    <row r="1094" spans="3:4">
      <c r="C1094" s="5"/>
      <c r="D1094" s="5"/>
    </row>
    <row r="1095" spans="3:4">
      <c r="C1095" s="5"/>
      <c r="D1095" s="5"/>
    </row>
    <row r="1096" spans="3:4">
      <c r="C1096" s="5"/>
      <c r="D1096" s="5"/>
    </row>
    <row r="1097" spans="3:4">
      <c r="C1097" s="5"/>
      <c r="D1097" s="5"/>
    </row>
    <row r="1098" spans="3:4">
      <c r="C1098" s="5"/>
      <c r="D1098" s="5"/>
    </row>
    <row r="1099" spans="3:4">
      <c r="C1099" s="5"/>
      <c r="D1099" s="5"/>
    </row>
    <row r="1100" spans="3:4">
      <c r="C1100" s="5"/>
      <c r="D1100" s="5"/>
    </row>
    <row r="1101" spans="3:4">
      <c r="C1101" s="5"/>
      <c r="D1101" s="5"/>
    </row>
    <row r="1102" spans="3:4">
      <c r="C1102" s="5"/>
      <c r="D1102" s="5"/>
    </row>
    <row r="1103" spans="3:4">
      <c r="C1103" s="5"/>
      <c r="D1103" s="5"/>
    </row>
    <row r="1104" spans="3:4">
      <c r="C1104" s="5"/>
      <c r="D1104" s="5"/>
    </row>
    <row r="1105" spans="3:4">
      <c r="C1105" s="5"/>
      <c r="D1105" s="5"/>
    </row>
    <row r="1106" spans="3:4">
      <c r="C1106" s="5"/>
      <c r="D1106" s="5"/>
    </row>
    <row r="1107" spans="3:4">
      <c r="C1107" s="5"/>
      <c r="D1107" s="5"/>
    </row>
    <row r="1108" spans="3:4">
      <c r="C1108" s="5"/>
      <c r="D1108" s="5"/>
    </row>
    <row r="1109" spans="3:4">
      <c r="C1109" s="5"/>
      <c r="D1109" s="5"/>
    </row>
    <row r="1110" spans="3:4">
      <c r="C1110" s="5"/>
      <c r="D1110" s="5"/>
    </row>
    <row r="1111" spans="3:4">
      <c r="C1111" s="5"/>
      <c r="D1111" s="5"/>
    </row>
    <row r="1112" spans="3:4">
      <c r="C1112" s="5"/>
      <c r="D1112" s="5"/>
    </row>
    <row r="1113" spans="3:4">
      <c r="C1113" s="5"/>
      <c r="D1113" s="5"/>
    </row>
    <row r="1114" spans="3:4">
      <c r="C1114" s="5"/>
      <c r="D1114" s="5"/>
    </row>
    <row r="1115" spans="3:4">
      <c r="C1115" s="5"/>
      <c r="D1115" s="5"/>
    </row>
    <row r="1116" spans="3:4">
      <c r="C1116" s="5"/>
      <c r="D1116" s="5"/>
    </row>
    <row r="1117" spans="3:4">
      <c r="C1117" s="5"/>
      <c r="D1117" s="5"/>
    </row>
    <row r="1118" spans="3:4">
      <c r="C1118" s="5"/>
      <c r="D1118" s="5"/>
    </row>
    <row r="1119" spans="3:4">
      <c r="C1119" s="5"/>
      <c r="D1119" s="5"/>
    </row>
    <row r="1120" spans="3:4">
      <c r="C1120" s="5"/>
      <c r="D1120" s="5"/>
    </row>
    <row r="1121" spans="3:4">
      <c r="C1121" s="5"/>
      <c r="D1121" s="5"/>
    </row>
    <row r="1122" spans="3:4">
      <c r="C1122" s="5"/>
      <c r="D1122" s="5"/>
    </row>
    <row r="1123" spans="3:4">
      <c r="C1123" s="5"/>
      <c r="D1123" s="5"/>
    </row>
    <row r="1124" spans="3:4">
      <c r="C1124" s="5"/>
      <c r="D1124" s="5"/>
    </row>
    <row r="1125" spans="3:4">
      <c r="C1125" s="5"/>
      <c r="D1125" s="5"/>
    </row>
    <row r="1126" spans="3:4">
      <c r="C1126" s="5"/>
      <c r="D1126" s="5"/>
    </row>
    <row r="1127" spans="3:4">
      <c r="C1127" s="5"/>
      <c r="D1127" s="5"/>
    </row>
    <row r="1128" spans="3:4">
      <c r="C1128" s="5"/>
      <c r="D1128" s="5"/>
    </row>
    <row r="1129" spans="3:4">
      <c r="C1129" s="5"/>
      <c r="D1129" s="5"/>
    </row>
    <row r="1130" spans="3:4">
      <c r="C1130" s="5"/>
      <c r="D1130" s="5"/>
    </row>
    <row r="1131" spans="3:4">
      <c r="C1131" s="5"/>
      <c r="D1131" s="5"/>
    </row>
    <row r="1132" spans="3:4">
      <c r="C1132" s="5"/>
      <c r="D1132" s="5"/>
    </row>
    <row r="1133" spans="3:4">
      <c r="C1133" s="5"/>
      <c r="D1133" s="5"/>
    </row>
    <row r="1134" spans="3:4">
      <c r="C1134" s="5"/>
      <c r="D1134" s="5"/>
    </row>
    <row r="1135" spans="3:4">
      <c r="C1135" s="5"/>
      <c r="D1135" s="5"/>
    </row>
    <row r="1136" spans="3:4">
      <c r="C1136" s="5"/>
      <c r="D1136" s="5"/>
    </row>
    <row r="1137" spans="3:4">
      <c r="C1137" s="5"/>
      <c r="D1137" s="5"/>
    </row>
    <row r="1138" spans="3:4">
      <c r="C1138" s="5"/>
      <c r="D1138" s="5"/>
    </row>
    <row r="1139" spans="3:4">
      <c r="C1139" s="5"/>
      <c r="D1139" s="5"/>
    </row>
    <row r="1140" spans="3:4">
      <c r="C1140" s="5"/>
      <c r="D1140" s="5"/>
    </row>
    <row r="1141" spans="3:4">
      <c r="C1141" s="5"/>
      <c r="D1141" s="5"/>
    </row>
    <row r="1142" spans="3:4">
      <c r="C1142" s="5"/>
      <c r="D1142" s="5"/>
    </row>
    <row r="1143" spans="3:4">
      <c r="C1143" s="5"/>
      <c r="D1143" s="5"/>
    </row>
    <row r="1144" spans="3:4">
      <c r="C1144" s="5"/>
      <c r="D1144" s="5"/>
    </row>
    <row r="1145" spans="3:4">
      <c r="C1145" s="5"/>
      <c r="D1145" s="5"/>
    </row>
    <row r="1146" spans="3:4">
      <c r="C1146" s="5"/>
      <c r="D1146" s="5"/>
    </row>
    <row r="1147" spans="3:4">
      <c r="C1147" s="5"/>
      <c r="D1147" s="5"/>
    </row>
    <row r="1148" spans="3:4">
      <c r="C1148" s="5"/>
      <c r="D1148" s="5"/>
    </row>
    <row r="1149" spans="3:4">
      <c r="C1149" s="5"/>
      <c r="D1149" s="5"/>
    </row>
    <row r="1150" spans="3:4">
      <c r="C1150" s="5"/>
      <c r="D1150" s="5"/>
    </row>
    <row r="1151" spans="3:4">
      <c r="C1151" s="5"/>
      <c r="D1151" s="5"/>
    </row>
    <row r="1152" spans="3:4">
      <c r="C1152" s="5"/>
      <c r="D1152" s="5"/>
    </row>
    <row r="1153" spans="3:4">
      <c r="C1153" s="5"/>
      <c r="D1153" s="5"/>
    </row>
    <row r="1154" spans="3:4">
      <c r="C1154" s="5"/>
      <c r="D1154" s="5"/>
    </row>
    <row r="1155" spans="3:4">
      <c r="C1155" s="5"/>
      <c r="D1155" s="5"/>
    </row>
    <row r="1156" spans="3:4">
      <c r="C1156" s="5"/>
      <c r="D1156" s="5"/>
    </row>
    <row r="1157" spans="3:4">
      <c r="C1157" s="5"/>
      <c r="D1157" s="5"/>
    </row>
    <row r="1158" spans="3:4">
      <c r="C1158" s="5"/>
      <c r="D1158" s="5"/>
    </row>
    <row r="1159" spans="3:4">
      <c r="C1159" s="5"/>
      <c r="D1159" s="5"/>
    </row>
    <row r="1160" spans="3:4">
      <c r="C1160" s="5"/>
      <c r="D1160" s="5"/>
    </row>
    <row r="1161" spans="3:4">
      <c r="C1161" s="5"/>
      <c r="D1161" s="5"/>
    </row>
    <row r="1162" spans="3:4">
      <c r="C1162" s="5"/>
      <c r="D1162" s="5"/>
    </row>
    <row r="1163" spans="3:4">
      <c r="C1163" s="5"/>
      <c r="D1163" s="5"/>
    </row>
    <row r="1164" spans="3:4">
      <c r="C1164" s="5"/>
      <c r="D1164" s="5"/>
    </row>
    <row r="1165" spans="3:4">
      <c r="C1165" s="5"/>
      <c r="D1165" s="5"/>
    </row>
    <row r="1166" spans="3:4">
      <c r="C1166" s="5"/>
      <c r="D1166" s="5"/>
    </row>
    <row r="1167" spans="3:4">
      <c r="C1167" s="5"/>
      <c r="D1167" s="5"/>
    </row>
    <row r="1168" spans="3:4">
      <c r="C1168" s="5"/>
      <c r="D1168" s="5"/>
    </row>
    <row r="1169" spans="3:4">
      <c r="C1169" s="5"/>
      <c r="D1169" s="5"/>
    </row>
    <row r="1170" spans="3:4">
      <c r="C1170" s="5"/>
      <c r="D1170" s="5"/>
    </row>
    <row r="1171" spans="3:4">
      <c r="C1171" s="5"/>
      <c r="D1171" s="5"/>
    </row>
    <row r="1172" spans="3:4">
      <c r="C1172" s="5"/>
      <c r="D1172" s="5"/>
    </row>
    <row r="1173" spans="3:4">
      <c r="C1173" s="5"/>
      <c r="D1173" s="5"/>
    </row>
    <row r="1174" spans="3:4">
      <c r="C1174" s="5"/>
      <c r="D1174" s="5"/>
    </row>
    <row r="1175" spans="3:4">
      <c r="C1175" s="5"/>
      <c r="D1175" s="5"/>
    </row>
    <row r="1176" spans="3:4">
      <c r="C1176" s="5"/>
      <c r="D1176" s="5"/>
    </row>
    <row r="1177" spans="3:4">
      <c r="C1177" s="5"/>
      <c r="D1177" s="5"/>
    </row>
    <row r="1178" spans="3:4">
      <c r="C1178" s="5"/>
      <c r="D1178" s="5"/>
    </row>
    <row r="1179" spans="3:4">
      <c r="C1179" s="5"/>
      <c r="D1179" s="5"/>
    </row>
    <row r="1180" spans="3:4">
      <c r="C1180" s="5"/>
      <c r="D1180" s="5"/>
    </row>
    <row r="1181" spans="3:4">
      <c r="C1181" s="5"/>
      <c r="D1181" s="5"/>
    </row>
    <row r="1182" spans="3:4">
      <c r="C1182" s="5"/>
      <c r="D1182" s="5"/>
    </row>
    <row r="1183" spans="3:4">
      <c r="C1183" s="5"/>
      <c r="D1183" s="5"/>
    </row>
    <row r="1184" spans="3:4">
      <c r="C1184" s="5"/>
      <c r="D1184" s="5"/>
    </row>
    <row r="1185" spans="3:4">
      <c r="C1185" s="5"/>
      <c r="D1185" s="5"/>
    </row>
    <row r="1186" spans="3:4">
      <c r="C1186" s="5"/>
      <c r="D1186" s="5"/>
    </row>
    <row r="1187" spans="3:4">
      <c r="C1187" s="5"/>
      <c r="D1187" s="5"/>
    </row>
    <row r="1188" spans="3:4">
      <c r="C1188" s="5"/>
      <c r="D1188" s="5"/>
    </row>
    <row r="1189" spans="3:4">
      <c r="C1189" s="5"/>
      <c r="D1189" s="5"/>
    </row>
    <row r="1190" spans="3:4">
      <c r="C1190" s="5"/>
      <c r="D1190" s="5"/>
    </row>
    <row r="1191" spans="3:4">
      <c r="C1191" s="5"/>
      <c r="D1191" s="5"/>
    </row>
    <row r="1192" spans="3:4">
      <c r="C1192" s="5"/>
      <c r="D1192" s="5"/>
    </row>
    <row r="1193" spans="3:4">
      <c r="C1193" s="5"/>
      <c r="D1193" s="5"/>
    </row>
    <row r="1194" spans="3:4">
      <c r="C1194" s="5"/>
      <c r="D1194" s="5"/>
    </row>
    <row r="1195" spans="3:4">
      <c r="C1195" s="5"/>
      <c r="D1195" s="5"/>
    </row>
    <row r="1196" spans="3:4">
      <c r="C1196" s="5"/>
      <c r="D1196" s="5"/>
    </row>
    <row r="1197" spans="3:4">
      <c r="C1197" s="5"/>
      <c r="D1197" s="5"/>
    </row>
    <row r="1198" spans="3:4">
      <c r="C1198" s="5"/>
      <c r="D1198" s="5"/>
    </row>
    <row r="1199" spans="3:4">
      <c r="C1199" s="5"/>
      <c r="D1199" s="5"/>
    </row>
    <row r="1200" spans="3:4">
      <c r="C1200" s="5"/>
      <c r="D1200" s="5"/>
    </row>
    <row r="1201" spans="3:4">
      <c r="C1201" s="5"/>
      <c r="D1201" s="5"/>
    </row>
    <row r="1202" spans="3:4">
      <c r="C1202" s="5"/>
      <c r="D1202" s="5"/>
    </row>
    <row r="1203" spans="3:4">
      <c r="C1203" s="5"/>
      <c r="D1203" s="5"/>
    </row>
    <row r="1204" spans="3:4">
      <c r="C1204" s="5"/>
      <c r="D1204" s="5"/>
    </row>
    <row r="1205" spans="3:4">
      <c r="C1205" s="5"/>
      <c r="D1205" s="5"/>
    </row>
    <row r="1206" spans="3:4">
      <c r="C1206" s="5"/>
      <c r="D1206" s="5"/>
    </row>
    <row r="1207" spans="3:4">
      <c r="C1207" s="5"/>
      <c r="D1207" s="5"/>
    </row>
    <row r="1208" spans="3:4">
      <c r="C1208" s="5"/>
      <c r="D1208" s="5"/>
    </row>
    <row r="1209" spans="3:4">
      <c r="C1209" s="5"/>
      <c r="D1209" s="5"/>
    </row>
    <row r="1210" spans="3:4">
      <c r="C1210" s="5"/>
      <c r="D1210" s="5"/>
    </row>
    <row r="1211" spans="3:4">
      <c r="C1211" s="5"/>
      <c r="D1211" s="5"/>
    </row>
    <row r="1212" spans="3:4">
      <c r="C1212" s="5"/>
      <c r="D1212" s="5"/>
    </row>
    <row r="1213" spans="3:4">
      <c r="C1213" s="5"/>
      <c r="D1213" s="5"/>
    </row>
    <row r="1214" spans="3:4">
      <c r="C1214" s="5"/>
      <c r="D1214" s="5"/>
    </row>
    <row r="1215" spans="3:4">
      <c r="C1215" s="5"/>
      <c r="D1215" s="5"/>
    </row>
    <row r="1216" spans="3:4">
      <c r="C1216" s="5"/>
      <c r="D1216" s="5"/>
    </row>
    <row r="1217" spans="3:4">
      <c r="C1217" s="5"/>
      <c r="D1217" s="5"/>
    </row>
    <row r="1218" spans="3:4">
      <c r="C1218" s="5"/>
      <c r="D1218" s="5"/>
    </row>
    <row r="1219" spans="3:4">
      <c r="C1219" s="5"/>
      <c r="D1219" s="5"/>
    </row>
    <row r="1220" spans="3:4">
      <c r="C1220" s="5"/>
      <c r="D1220" s="5"/>
    </row>
    <row r="1221" spans="3:4">
      <c r="C1221" s="5"/>
      <c r="D1221" s="5"/>
    </row>
    <row r="1222" spans="3:4">
      <c r="C1222" s="5"/>
      <c r="D1222" s="5"/>
    </row>
    <row r="1223" spans="3:4">
      <c r="C1223" s="5"/>
      <c r="D1223" s="5"/>
    </row>
    <row r="1224" spans="3:4">
      <c r="C1224" s="5"/>
      <c r="D1224" s="5"/>
    </row>
    <row r="1225" spans="3:4">
      <c r="C1225" s="5"/>
      <c r="D1225" s="5"/>
    </row>
    <row r="1226" spans="3:4">
      <c r="C1226" s="5"/>
      <c r="D1226" s="5"/>
    </row>
    <row r="1227" spans="3:4">
      <c r="C1227" s="5"/>
      <c r="D1227" s="5"/>
    </row>
    <row r="1228" spans="3:4">
      <c r="C1228" s="5"/>
      <c r="D1228" s="5"/>
    </row>
    <row r="1229" spans="3:4">
      <c r="C1229" s="5"/>
      <c r="D1229" s="5"/>
    </row>
    <row r="1230" spans="3:4">
      <c r="C1230" s="5"/>
      <c r="D1230" s="5"/>
    </row>
    <row r="1231" spans="3:4">
      <c r="C1231" s="5"/>
      <c r="D1231" s="5"/>
    </row>
    <row r="1232" spans="3:4">
      <c r="C1232" s="5"/>
      <c r="D1232" s="5"/>
    </row>
    <row r="1233" spans="3:4">
      <c r="C1233" s="5"/>
      <c r="D1233" s="5"/>
    </row>
    <row r="1234" spans="3:4">
      <c r="C1234" s="5"/>
      <c r="D1234" s="5"/>
    </row>
    <row r="1235" spans="3:4">
      <c r="C1235" s="5"/>
      <c r="D1235" s="5"/>
    </row>
    <row r="1236" spans="3:4">
      <c r="C1236" s="5"/>
      <c r="D1236" s="5"/>
    </row>
    <row r="1237" spans="3:4">
      <c r="C1237" s="5"/>
      <c r="D1237" s="5"/>
    </row>
    <row r="1238" spans="3:4">
      <c r="C1238" s="5"/>
      <c r="D1238" s="5"/>
    </row>
    <row r="1239" spans="3:4">
      <c r="C1239" s="5"/>
      <c r="D1239" s="5"/>
    </row>
    <row r="1240" spans="3:4">
      <c r="C1240" s="5"/>
      <c r="D1240" s="5"/>
    </row>
    <row r="1241" spans="3:4">
      <c r="C1241" s="5"/>
      <c r="D1241" s="5"/>
    </row>
    <row r="1242" spans="3:4">
      <c r="C1242" s="5"/>
      <c r="D1242" s="5"/>
    </row>
    <row r="1243" spans="3:4">
      <c r="C1243" s="5"/>
      <c r="D1243" s="5"/>
    </row>
    <row r="1244" spans="3:4">
      <c r="C1244" s="5"/>
      <c r="D1244" s="5"/>
    </row>
    <row r="1245" spans="3:4">
      <c r="C1245" s="5"/>
      <c r="D1245" s="5"/>
    </row>
    <row r="1246" spans="3:4">
      <c r="C1246" s="5"/>
      <c r="D1246" s="5"/>
    </row>
    <row r="1247" spans="3:4">
      <c r="C1247" s="5"/>
      <c r="D1247" s="5"/>
    </row>
    <row r="1248" spans="3:4">
      <c r="C1248" s="5"/>
      <c r="D1248" s="5"/>
    </row>
    <row r="1249" spans="3:4">
      <c r="C1249" s="5"/>
      <c r="D1249" s="5"/>
    </row>
    <row r="1250" spans="3:4">
      <c r="C1250" s="5"/>
      <c r="D1250" s="5"/>
    </row>
    <row r="1251" spans="3:4">
      <c r="C1251" s="5"/>
      <c r="D1251" s="5"/>
    </row>
    <row r="1252" spans="3:4">
      <c r="C1252" s="5"/>
      <c r="D1252" s="5"/>
    </row>
    <row r="1253" spans="3:4">
      <c r="C1253" s="5"/>
      <c r="D1253" s="5"/>
    </row>
    <row r="1254" spans="3:4">
      <c r="C1254" s="5"/>
      <c r="D1254" s="5"/>
    </row>
    <row r="1255" spans="3:4">
      <c r="C1255" s="5"/>
      <c r="D1255" s="5"/>
    </row>
    <row r="1256" spans="3:4">
      <c r="C1256" s="5"/>
      <c r="D1256" s="5"/>
    </row>
    <row r="1257" spans="3:4">
      <c r="C1257" s="5"/>
      <c r="D1257" s="5"/>
    </row>
    <row r="1258" spans="3:4">
      <c r="C1258" s="5"/>
      <c r="D1258" s="5"/>
    </row>
    <row r="1259" spans="3:4">
      <c r="C1259" s="5"/>
      <c r="D1259" s="5"/>
    </row>
    <row r="1260" spans="3:4">
      <c r="C1260" s="5"/>
      <c r="D1260" s="5"/>
    </row>
    <row r="1261" spans="3:4">
      <c r="C1261" s="5"/>
      <c r="D1261" s="5"/>
    </row>
    <row r="1262" spans="3:4">
      <c r="C1262" s="5"/>
      <c r="D1262" s="5"/>
    </row>
    <row r="1263" spans="3:4">
      <c r="C1263" s="5"/>
      <c r="D1263" s="5"/>
    </row>
    <row r="1264" spans="3:4">
      <c r="C1264" s="5"/>
      <c r="D1264" s="5"/>
    </row>
    <row r="1265" spans="3:4">
      <c r="C1265" s="5"/>
      <c r="D1265" s="5"/>
    </row>
    <row r="1266" spans="3:4">
      <c r="C1266" s="5"/>
      <c r="D1266" s="5"/>
    </row>
    <row r="1267" spans="3:4">
      <c r="C1267" s="5"/>
      <c r="D1267" s="5"/>
    </row>
    <row r="1268" spans="3:4">
      <c r="C1268" s="5"/>
      <c r="D1268" s="5"/>
    </row>
    <row r="1269" spans="3:4">
      <c r="C1269" s="5"/>
      <c r="D1269" s="5"/>
    </row>
    <row r="1270" spans="3:4">
      <c r="C1270" s="5"/>
      <c r="D1270" s="5"/>
    </row>
    <row r="1271" spans="3:4">
      <c r="C1271" s="5"/>
      <c r="D1271" s="5"/>
    </row>
    <row r="1272" spans="3:4">
      <c r="C1272" s="5"/>
      <c r="D1272" s="5"/>
    </row>
    <row r="1273" spans="3:4">
      <c r="C1273" s="5"/>
      <c r="D1273" s="5"/>
    </row>
    <row r="1274" spans="3:4">
      <c r="C1274" s="5"/>
      <c r="D1274" s="5"/>
    </row>
    <row r="1275" spans="3:4">
      <c r="C1275" s="5"/>
      <c r="D1275" s="5"/>
    </row>
    <row r="1276" spans="3:4">
      <c r="C1276" s="5"/>
      <c r="D1276" s="5"/>
    </row>
    <row r="1277" spans="3:4">
      <c r="C1277" s="5"/>
      <c r="D1277" s="5"/>
    </row>
    <row r="1278" spans="3:4">
      <c r="C1278" s="5"/>
      <c r="D1278" s="5"/>
    </row>
    <row r="1279" spans="3:4">
      <c r="C1279" s="5"/>
      <c r="D1279" s="5"/>
    </row>
    <row r="1280" spans="3:4">
      <c r="C1280" s="5"/>
      <c r="D1280" s="5"/>
    </row>
    <row r="1281" spans="3:4">
      <c r="C1281" s="5"/>
      <c r="D1281" s="5"/>
    </row>
    <row r="1282" spans="3:4">
      <c r="C1282" s="5"/>
      <c r="D1282" s="5"/>
    </row>
    <row r="1283" spans="3:4">
      <c r="C1283" s="5"/>
      <c r="D1283" s="5"/>
    </row>
    <row r="1284" spans="3:4">
      <c r="C1284" s="5"/>
      <c r="D1284" s="5"/>
    </row>
    <row r="1285" spans="3:4">
      <c r="C1285" s="5"/>
      <c r="D1285" s="5"/>
    </row>
    <row r="1286" spans="3:4">
      <c r="C1286" s="5"/>
      <c r="D1286" s="5"/>
    </row>
    <row r="1287" spans="3:4">
      <c r="C1287" s="5"/>
      <c r="D1287" s="5"/>
    </row>
    <row r="1288" spans="3:4">
      <c r="C1288" s="5"/>
      <c r="D1288" s="5"/>
    </row>
    <row r="1289" spans="3:4">
      <c r="C1289" s="5"/>
      <c r="D1289" s="5"/>
    </row>
    <row r="1290" spans="3:4">
      <c r="C1290" s="5"/>
      <c r="D1290" s="5"/>
    </row>
    <row r="1291" spans="3:4">
      <c r="C1291" s="5"/>
      <c r="D1291" s="5"/>
    </row>
    <row r="1292" spans="3:4">
      <c r="C1292" s="5"/>
      <c r="D1292" s="5"/>
    </row>
    <row r="1293" spans="3:4">
      <c r="C1293" s="5"/>
      <c r="D1293" s="5"/>
    </row>
    <row r="1294" spans="3:4">
      <c r="C1294" s="5"/>
      <c r="D1294" s="5"/>
    </row>
    <row r="1295" spans="3:4">
      <c r="C1295" s="5"/>
      <c r="D1295" s="5"/>
    </row>
    <row r="1296" spans="3:4">
      <c r="C1296" s="5"/>
      <c r="D1296" s="5"/>
    </row>
    <row r="1297" spans="3:4">
      <c r="C1297" s="5"/>
      <c r="D1297" s="5"/>
    </row>
    <row r="1298" spans="3:4">
      <c r="C1298" s="5"/>
      <c r="D1298" s="5"/>
    </row>
    <row r="1299" spans="3:4">
      <c r="C1299" s="5"/>
      <c r="D1299" s="5"/>
    </row>
    <row r="1300" spans="3:4">
      <c r="C1300" s="5"/>
      <c r="D1300" s="5"/>
    </row>
    <row r="1301" spans="3:4">
      <c r="C1301" s="5"/>
      <c r="D1301" s="5"/>
    </row>
    <row r="1302" spans="3:4">
      <c r="C1302" s="5"/>
      <c r="D1302" s="5"/>
    </row>
    <row r="1303" spans="3:4">
      <c r="C1303" s="5"/>
      <c r="D1303" s="5"/>
    </row>
    <row r="1304" spans="3:4">
      <c r="C1304" s="5"/>
      <c r="D1304" s="5"/>
    </row>
    <row r="1305" spans="3:4">
      <c r="C1305" s="5"/>
      <c r="D1305" s="5"/>
    </row>
    <row r="1306" spans="3:4">
      <c r="C1306" s="5"/>
      <c r="D1306" s="5"/>
    </row>
    <row r="1307" spans="3:4">
      <c r="C1307" s="5"/>
      <c r="D1307" s="5"/>
    </row>
    <row r="1308" spans="3:4">
      <c r="C1308" s="5"/>
      <c r="D1308" s="5"/>
    </row>
    <row r="1309" spans="3:4">
      <c r="C1309" s="5"/>
      <c r="D1309" s="5"/>
    </row>
    <row r="1310" spans="3:4">
      <c r="C1310" s="5"/>
      <c r="D1310" s="5"/>
    </row>
    <row r="1311" spans="3:4">
      <c r="C1311" s="5"/>
      <c r="D1311" s="5"/>
    </row>
    <row r="1312" spans="3:4">
      <c r="C1312" s="5"/>
      <c r="D1312" s="5"/>
    </row>
    <row r="1313" spans="3:4">
      <c r="C1313" s="5"/>
      <c r="D1313" s="5"/>
    </row>
    <row r="1314" spans="3:4">
      <c r="C1314" s="5"/>
      <c r="D1314" s="5"/>
    </row>
    <row r="1315" spans="3:4">
      <c r="C1315" s="5"/>
      <c r="D1315" s="5"/>
    </row>
    <row r="1316" spans="3:4">
      <c r="C1316" s="5"/>
      <c r="D1316" s="5"/>
    </row>
    <row r="1317" spans="3:4">
      <c r="C1317" s="5"/>
      <c r="D1317" s="5"/>
    </row>
    <row r="1318" spans="3:4">
      <c r="C1318" s="5"/>
      <c r="D1318" s="5"/>
    </row>
    <row r="1319" spans="3:4">
      <c r="C1319" s="5"/>
      <c r="D1319" s="5"/>
    </row>
    <row r="1320" spans="3:4">
      <c r="C1320" s="5"/>
      <c r="D1320" s="5"/>
    </row>
    <row r="1321" spans="3:4">
      <c r="C1321" s="5"/>
      <c r="D1321" s="5"/>
    </row>
    <row r="1322" spans="3:4">
      <c r="C1322" s="5"/>
      <c r="D1322" s="5"/>
    </row>
    <row r="1323" spans="3:4">
      <c r="C1323" s="5"/>
      <c r="D1323" s="5"/>
    </row>
    <row r="1324" spans="3:4">
      <c r="C1324" s="5"/>
      <c r="D1324" s="5"/>
    </row>
    <row r="1325" spans="3:4">
      <c r="C1325" s="5"/>
      <c r="D1325" s="5"/>
    </row>
    <row r="1326" spans="3:4">
      <c r="C1326" s="5"/>
      <c r="D1326" s="5"/>
    </row>
    <row r="1327" spans="3:4">
      <c r="C1327" s="5"/>
      <c r="D1327" s="5"/>
    </row>
    <row r="1328" spans="3:4">
      <c r="C1328" s="5"/>
      <c r="D1328" s="5"/>
    </row>
    <row r="1329" spans="3:4">
      <c r="C1329" s="5"/>
      <c r="D1329" s="5"/>
    </row>
    <row r="1330" spans="3:4">
      <c r="C1330" s="5"/>
      <c r="D1330" s="5"/>
    </row>
    <row r="1331" spans="3:4">
      <c r="C1331" s="5"/>
      <c r="D1331" s="5"/>
    </row>
    <row r="1332" spans="3:4">
      <c r="C1332" s="5"/>
      <c r="D1332" s="5"/>
    </row>
    <row r="1333" spans="3:4">
      <c r="C1333" s="5"/>
      <c r="D1333" s="5"/>
    </row>
    <row r="1334" spans="3:4">
      <c r="C1334" s="5"/>
      <c r="D1334" s="5"/>
    </row>
    <row r="1335" spans="3:4">
      <c r="C1335" s="5"/>
      <c r="D1335" s="5"/>
    </row>
    <row r="1336" spans="3:4">
      <c r="C1336" s="5"/>
      <c r="D1336" s="5"/>
    </row>
    <row r="1337" spans="3:4">
      <c r="C1337" s="5"/>
      <c r="D1337" s="5"/>
    </row>
    <row r="1338" spans="3:4">
      <c r="C1338" s="5"/>
      <c r="D1338" s="5"/>
    </row>
    <row r="1339" spans="3:4">
      <c r="C1339" s="5"/>
      <c r="D1339" s="5"/>
    </row>
    <row r="1340" spans="3:4">
      <c r="C1340" s="5"/>
      <c r="D1340" s="5"/>
    </row>
    <row r="1341" spans="3:4">
      <c r="C1341" s="5"/>
      <c r="D1341" s="5"/>
    </row>
    <row r="1342" spans="3:4">
      <c r="C1342" s="5"/>
      <c r="D1342" s="5"/>
    </row>
    <row r="1343" spans="3:4">
      <c r="C1343" s="5"/>
      <c r="D1343" s="5"/>
    </row>
    <row r="1344" spans="3:4">
      <c r="C1344" s="5"/>
      <c r="D1344" s="5"/>
    </row>
    <row r="1345" spans="3:4">
      <c r="C1345" s="5"/>
      <c r="D1345" s="5"/>
    </row>
    <row r="1346" spans="3:4">
      <c r="C1346" s="5"/>
      <c r="D1346" s="5"/>
    </row>
    <row r="1347" spans="3:4">
      <c r="C1347" s="5"/>
      <c r="D1347" s="5"/>
    </row>
    <row r="1348" spans="3:4">
      <c r="C1348" s="5"/>
      <c r="D1348" s="5"/>
    </row>
    <row r="1349" spans="3:4">
      <c r="C1349" s="5"/>
      <c r="D1349" s="5"/>
    </row>
    <row r="1350" spans="3:4">
      <c r="C1350" s="5"/>
      <c r="D1350" s="5"/>
    </row>
    <row r="1351" spans="3:4">
      <c r="C1351" s="5"/>
      <c r="D1351" s="5"/>
    </row>
    <row r="1352" spans="3:4">
      <c r="C1352" s="5"/>
      <c r="D1352" s="5"/>
    </row>
    <row r="1353" spans="3:4">
      <c r="C1353" s="5"/>
      <c r="D1353" s="5"/>
    </row>
    <row r="1354" spans="3:4">
      <c r="C1354" s="5"/>
      <c r="D1354" s="5"/>
    </row>
    <row r="1355" spans="3:4">
      <c r="C1355" s="5"/>
      <c r="D1355" s="5"/>
    </row>
    <row r="1356" spans="3:4">
      <c r="C1356" s="5"/>
      <c r="D1356" s="5"/>
    </row>
    <row r="1357" spans="3:4">
      <c r="C1357" s="5"/>
      <c r="D1357" s="5"/>
    </row>
    <row r="1358" spans="3:4">
      <c r="C1358" s="5"/>
      <c r="D1358" s="5"/>
    </row>
    <row r="1359" spans="3:4">
      <c r="C1359" s="5"/>
      <c r="D1359" s="5"/>
    </row>
    <row r="1360" spans="3:4">
      <c r="C1360" s="5"/>
      <c r="D1360" s="5"/>
    </row>
    <row r="1361" spans="3:4">
      <c r="C1361" s="5"/>
      <c r="D1361" s="5"/>
    </row>
    <row r="1362" spans="3:4">
      <c r="C1362" s="5"/>
      <c r="D1362" s="5"/>
    </row>
    <row r="1363" spans="3:4">
      <c r="C1363" s="5"/>
      <c r="D1363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Blad6"/>
  <dimension ref="A1"/>
  <sheetViews>
    <sheetView workbookViewId="0">
      <selection activeCell="F30" sqref="F30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Blad10"/>
  <dimension ref="A2:N38"/>
  <sheetViews>
    <sheetView topLeftCell="B1" workbookViewId="0">
      <selection activeCell="B8" sqref="B8"/>
    </sheetView>
  </sheetViews>
  <sheetFormatPr defaultRowHeight="15"/>
  <cols>
    <col min="2" max="2" width="13" customWidth="1"/>
    <col min="3" max="3" width="1.85546875" customWidth="1"/>
    <col min="4" max="6" width="13" customWidth="1"/>
    <col min="7" max="7" width="1.85546875" customWidth="1"/>
    <col min="8" max="9" width="13" customWidth="1"/>
    <col min="10" max="10" width="16.5703125" bestFit="1" customWidth="1"/>
    <col min="12" max="12" width="10.5703125" bestFit="1" customWidth="1"/>
    <col min="13" max="13" width="19.28515625" bestFit="1" customWidth="1"/>
    <col min="15" max="15" width="4.7109375" customWidth="1"/>
  </cols>
  <sheetData>
    <row r="2" spans="1:14" s="1" customFormat="1" ht="23.25">
      <c r="B2" s="1" t="s">
        <v>29</v>
      </c>
    </row>
    <row r="3" spans="1:14" s="1" customFormat="1" ht="23.25">
      <c r="B3" s="1" t="s">
        <v>28</v>
      </c>
    </row>
    <row r="4" spans="1:14" s="1" customFormat="1" ht="23.25">
      <c r="B4" s="1" t="s">
        <v>37</v>
      </c>
    </row>
    <row r="5" spans="1:14" s="1" customFormat="1" ht="23.25">
      <c r="B5" s="1" t="s">
        <v>38</v>
      </c>
    </row>
    <row r="7" spans="1:14" ht="15.75" thickBot="1">
      <c r="B7" s="16" t="s">
        <v>4</v>
      </c>
      <c r="D7" s="16" t="s">
        <v>14</v>
      </c>
      <c r="F7" s="16" t="s">
        <v>5</v>
      </c>
      <c r="H7" s="16" t="s">
        <v>15</v>
      </c>
      <c r="J7" s="16" t="s">
        <v>30</v>
      </c>
    </row>
    <row r="8" spans="1:14" ht="37.5" customHeight="1" thickTop="1" thickBot="1">
      <c r="B8" s="15">
        <v>5</v>
      </c>
      <c r="C8" s="11"/>
      <c r="D8" s="39">
        <f>IF(J16=eucl_a,I16,K16)</f>
        <v>5</v>
      </c>
      <c r="E8" s="17" t="s">
        <v>6</v>
      </c>
      <c r="F8" s="15">
        <v>12</v>
      </c>
      <c r="G8" s="11"/>
      <c r="H8" s="39">
        <f>IF(J16=eucl_b,I16,K16)</f>
        <v>-2</v>
      </c>
      <c r="I8" s="17" t="s">
        <v>0</v>
      </c>
      <c r="J8" s="39">
        <f>SUM(N16:N38)</f>
        <v>1</v>
      </c>
      <c r="K8" s="18"/>
      <c r="L8" s="19"/>
      <c r="M8" s="21" t="str">
        <f>IF(B8*D8+F8*H8=J8,"OK",":-(")</f>
        <v>OK</v>
      </c>
    </row>
    <row r="9" spans="1:14" s="37" customFormat="1" ht="12.75" customHeight="1" thickTop="1">
      <c r="B9" s="34"/>
      <c r="C9" s="11"/>
      <c r="D9" s="16"/>
      <c r="E9" s="35"/>
      <c r="F9" s="34"/>
      <c r="G9" s="11"/>
      <c r="H9" s="16"/>
      <c r="I9" s="35"/>
      <c r="J9" s="11"/>
      <c r="K9" s="32"/>
      <c r="L9" s="32"/>
      <c r="M9" s="33"/>
    </row>
    <row r="10" spans="1:14" s="58" customFormat="1" ht="15.75" thickBot="1"/>
    <row r="11" spans="1:14" ht="15.75" thickTop="1">
      <c r="D11">
        <f>ABS(eucl_a)</f>
        <v>5</v>
      </c>
    </row>
    <row r="12" spans="1:14">
      <c r="D12">
        <f>ABS(eucl_b)</f>
        <v>12</v>
      </c>
      <c r="I12" s="78"/>
    </row>
    <row r="13" spans="1:14">
      <c r="A13" s="43"/>
      <c r="B13" s="68" t="s">
        <v>41</v>
      </c>
      <c r="C13" s="43"/>
      <c r="D13" s="77">
        <f>IF(D11&gt;D12,eucl_a,eucl_b)</f>
        <v>12</v>
      </c>
      <c r="E13" s="43"/>
      <c r="F13" s="43"/>
      <c r="G13" s="43"/>
      <c r="H13" s="43"/>
      <c r="I13" s="79"/>
    </row>
    <row r="14" spans="1:14">
      <c r="A14">
        <f>IF(eucl_a&gt;eucl_b,eucl_a,eucl_b)</f>
        <v>12</v>
      </c>
      <c r="B14" t="s">
        <v>42</v>
      </c>
      <c r="D14">
        <f>IF(D11&gt;D12,eucl_b,eucl_a)</f>
        <v>5</v>
      </c>
      <c r="I14" s="78"/>
    </row>
    <row r="15" spans="1:14">
      <c r="I15" s="78"/>
    </row>
    <row r="16" spans="1:14">
      <c r="A16">
        <f>D14</f>
        <v>5</v>
      </c>
      <c r="B16">
        <f>D13</f>
        <v>12</v>
      </c>
      <c r="C16" t="s">
        <v>0</v>
      </c>
      <c r="D16">
        <f>IFERROR(FLOOR(D13/D14,IF(D13/D14&lt;0,-1,1)),0)</f>
        <v>2</v>
      </c>
      <c r="E16" t="s">
        <v>43</v>
      </c>
      <c r="F16">
        <f>$D$14</f>
        <v>5</v>
      </c>
      <c r="G16" t="s">
        <v>6</v>
      </c>
      <c r="H16">
        <f>B16-D16*F16</f>
        <v>2</v>
      </c>
      <c r="I16" s="78">
        <f t="shared" ref="I16:I19" si="0">IFERROR(IF(H17=0,1,K17),0)</f>
        <v>-2</v>
      </c>
      <c r="J16">
        <f t="shared" ref="J16:J19" si="1">IFERROR(IF(H17=0,B16,B16),0)</f>
        <v>12</v>
      </c>
      <c r="K16">
        <f t="shared" ref="K16:K20" si="2">IFERROR(IF(H17=0,-D16,-K17*D16+I17),0)</f>
        <v>5</v>
      </c>
      <c r="L16">
        <f t="shared" ref="L16:L19" si="3">IFERROR(IF(H17=0,F16,J17),0)</f>
        <v>5</v>
      </c>
      <c r="N16">
        <f t="shared" ref="N16:N19" si="4">IFERROR(IF(H17=0,H16,0),0)</f>
        <v>0</v>
      </c>
    </row>
    <row r="17" spans="1:14">
      <c r="A17">
        <f t="shared" ref="A17:A34" si="5">D16</f>
        <v>2</v>
      </c>
      <c r="B17">
        <f>F16</f>
        <v>5</v>
      </c>
      <c r="C17" t="s">
        <v>0</v>
      </c>
      <c r="D17">
        <f>FLOOR(B17/H16,IF(B17/H16&lt;0,-1,1))</f>
        <v>2</v>
      </c>
      <c r="E17" t="s">
        <v>43</v>
      </c>
      <c r="F17">
        <f>H16</f>
        <v>2</v>
      </c>
      <c r="G17" t="s">
        <v>6</v>
      </c>
      <c r="H17">
        <f t="shared" ref="H17:H26" si="6">B17-D17*F17</f>
        <v>1</v>
      </c>
      <c r="I17" s="78">
        <f t="shared" si="0"/>
        <v>1</v>
      </c>
      <c r="J17">
        <f t="shared" si="1"/>
        <v>5</v>
      </c>
      <c r="K17">
        <f t="shared" si="2"/>
        <v>-2</v>
      </c>
      <c r="L17">
        <f t="shared" si="3"/>
        <v>2</v>
      </c>
      <c r="N17">
        <f t="shared" si="4"/>
        <v>1</v>
      </c>
    </row>
    <row r="18" spans="1:14">
      <c r="A18">
        <f t="shared" si="5"/>
        <v>2</v>
      </c>
      <c r="B18">
        <f t="shared" ref="B18:B38" si="7">F17</f>
        <v>2</v>
      </c>
      <c r="C18" t="s">
        <v>0</v>
      </c>
      <c r="D18">
        <f t="shared" ref="D18:D38" si="8">FLOOR(B18/H17,IF(B18/H17&lt;0,-1,1))</f>
        <v>2</v>
      </c>
      <c r="E18" t="s">
        <v>43</v>
      </c>
      <c r="F18">
        <f t="shared" ref="F18:F38" si="9">H17</f>
        <v>1</v>
      </c>
      <c r="G18" t="s">
        <v>6</v>
      </c>
      <c r="H18">
        <f t="shared" ref="H18:H38" si="10">B18-D18*F18</f>
        <v>0</v>
      </c>
      <c r="I18" s="78">
        <f t="shared" si="0"/>
        <v>0</v>
      </c>
      <c r="J18">
        <f t="shared" si="1"/>
        <v>0</v>
      </c>
      <c r="K18">
        <f t="shared" si="2"/>
        <v>0</v>
      </c>
      <c r="L18">
        <f t="shared" si="3"/>
        <v>0</v>
      </c>
      <c r="N18">
        <f t="shared" si="4"/>
        <v>0</v>
      </c>
    </row>
    <row r="19" spans="1:14">
      <c r="A19">
        <f t="shared" si="5"/>
        <v>2</v>
      </c>
      <c r="B19">
        <f t="shared" si="7"/>
        <v>1</v>
      </c>
      <c r="C19" t="s">
        <v>0</v>
      </c>
      <c r="D19" t="e">
        <f t="shared" si="8"/>
        <v>#DIV/0!</v>
      </c>
      <c r="E19" t="s">
        <v>43</v>
      </c>
      <c r="F19">
        <f t="shared" si="9"/>
        <v>0</v>
      </c>
      <c r="G19" t="s">
        <v>6</v>
      </c>
      <c r="H19" t="e">
        <f t="shared" si="10"/>
        <v>#DIV/0!</v>
      </c>
      <c r="I19" s="78">
        <f t="shared" si="0"/>
        <v>0</v>
      </c>
      <c r="J19">
        <f t="shared" si="1"/>
        <v>0</v>
      </c>
      <c r="K19">
        <f t="shared" si="2"/>
        <v>0</v>
      </c>
      <c r="L19">
        <f t="shared" si="3"/>
        <v>0</v>
      </c>
      <c r="N19">
        <f t="shared" si="4"/>
        <v>0</v>
      </c>
    </row>
    <row r="20" spans="1:14">
      <c r="A20" t="e">
        <f t="shared" si="5"/>
        <v>#DIV/0!</v>
      </c>
      <c r="B20">
        <f t="shared" si="7"/>
        <v>0</v>
      </c>
      <c r="C20" t="s">
        <v>0</v>
      </c>
      <c r="D20" t="e">
        <f t="shared" si="8"/>
        <v>#DIV/0!</v>
      </c>
      <c r="E20" t="s">
        <v>43</v>
      </c>
      <c r="F20" t="e">
        <f t="shared" si="9"/>
        <v>#DIV/0!</v>
      </c>
      <c r="G20" t="s">
        <v>6</v>
      </c>
      <c r="H20" t="e">
        <f t="shared" si="10"/>
        <v>#DIV/0!</v>
      </c>
      <c r="I20" s="78">
        <f t="shared" ref="I19:I38" si="11">IFERROR(IF(H21=0,1,K21),0)</f>
        <v>0</v>
      </c>
      <c r="J20">
        <f t="shared" ref="J19:J38" si="12">IFERROR(IF(H21=0,B20,B20),0)</f>
        <v>0</v>
      </c>
      <c r="K20">
        <f t="shared" si="2"/>
        <v>0</v>
      </c>
      <c r="L20">
        <f t="shared" ref="L19:L38" si="13">IFERROR(IF(H21=0,F20,J21),0)</f>
        <v>0</v>
      </c>
      <c r="N20">
        <f t="shared" ref="N17:N38" si="14">IFERROR(IF(H21=0,H20,0),0)</f>
        <v>0</v>
      </c>
    </row>
    <row r="21" spans="1:14">
      <c r="A21" t="e">
        <f t="shared" si="5"/>
        <v>#DIV/0!</v>
      </c>
      <c r="B21" t="e">
        <f t="shared" si="7"/>
        <v>#DIV/0!</v>
      </c>
      <c r="C21" t="s">
        <v>0</v>
      </c>
      <c r="D21" t="e">
        <f t="shared" si="8"/>
        <v>#DIV/0!</v>
      </c>
      <c r="E21" t="s">
        <v>43</v>
      </c>
      <c r="F21" t="e">
        <f t="shared" si="9"/>
        <v>#DIV/0!</v>
      </c>
      <c r="G21" t="s">
        <v>6</v>
      </c>
      <c r="H21" t="e">
        <f t="shared" si="10"/>
        <v>#DIV/0!</v>
      </c>
      <c r="I21" s="78">
        <f t="shared" si="11"/>
        <v>0</v>
      </c>
      <c r="J21">
        <f t="shared" si="12"/>
        <v>0</v>
      </c>
      <c r="K21">
        <f>IFERROR(IF(H22=0,-D21,-K22*D21+I22),0)</f>
        <v>0</v>
      </c>
      <c r="L21">
        <f t="shared" si="13"/>
        <v>0</v>
      </c>
      <c r="N21">
        <f t="shared" si="14"/>
        <v>0</v>
      </c>
    </row>
    <row r="22" spans="1:14">
      <c r="A22" t="e">
        <f t="shared" si="5"/>
        <v>#DIV/0!</v>
      </c>
      <c r="B22" t="e">
        <f t="shared" si="7"/>
        <v>#DIV/0!</v>
      </c>
      <c r="C22" t="s">
        <v>0</v>
      </c>
      <c r="D22" t="e">
        <f t="shared" si="8"/>
        <v>#DIV/0!</v>
      </c>
      <c r="E22" t="s">
        <v>43</v>
      </c>
      <c r="F22" t="e">
        <f t="shared" si="9"/>
        <v>#DIV/0!</v>
      </c>
      <c r="G22" t="s">
        <v>6</v>
      </c>
      <c r="H22" t="e">
        <f t="shared" si="10"/>
        <v>#DIV/0!</v>
      </c>
      <c r="I22" s="78">
        <f t="shared" si="11"/>
        <v>0</v>
      </c>
      <c r="J22">
        <f t="shared" si="12"/>
        <v>0</v>
      </c>
      <c r="K22">
        <f t="shared" ref="K22:K38" si="15">IFERROR(IF(H23=0,-D22,-K23*D22+I23),0)</f>
        <v>0</v>
      </c>
      <c r="L22">
        <f t="shared" si="13"/>
        <v>0</v>
      </c>
      <c r="N22">
        <f t="shared" si="14"/>
        <v>0</v>
      </c>
    </row>
    <row r="23" spans="1:14">
      <c r="A23" t="e">
        <f t="shared" si="5"/>
        <v>#DIV/0!</v>
      </c>
      <c r="B23" t="e">
        <f t="shared" si="7"/>
        <v>#DIV/0!</v>
      </c>
      <c r="C23" t="s">
        <v>0</v>
      </c>
      <c r="D23" t="e">
        <f t="shared" si="8"/>
        <v>#DIV/0!</v>
      </c>
      <c r="E23" t="s">
        <v>43</v>
      </c>
      <c r="F23" t="e">
        <f t="shared" si="9"/>
        <v>#DIV/0!</v>
      </c>
      <c r="G23" t="s">
        <v>6</v>
      </c>
      <c r="H23" t="e">
        <f t="shared" si="10"/>
        <v>#DIV/0!</v>
      </c>
      <c r="I23" s="78">
        <f t="shared" si="11"/>
        <v>0</v>
      </c>
      <c r="J23">
        <f t="shared" si="12"/>
        <v>0</v>
      </c>
      <c r="K23">
        <f t="shared" si="15"/>
        <v>0</v>
      </c>
      <c r="L23">
        <f t="shared" si="13"/>
        <v>0</v>
      </c>
      <c r="N23">
        <f t="shared" si="14"/>
        <v>0</v>
      </c>
    </row>
    <row r="24" spans="1:14">
      <c r="A24" t="e">
        <f t="shared" si="5"/>
        <v>#DIV/0!</v>
      </c>
      <c r="B24" t="e">
        <f t="shared" si="7"/>
        <v>#DIV/0!</v>
      </c>
      <c r="C24" t="s">
        <v>0</v>
      </c>
      <c r="D24" t="e">
        <f t="shared" si="8"/>
        <v>#DIV/0!</v>
      </c>
      <c r="E24" t="s">
        <v>43</v>
      </c>
      <c r="F24" t="e">
        <f t="shared" si="9"/>
        <v>#DIV/0!</v>
      </c>
      <c r="G24" t="s">
        <v>6</v>
      </c>
      <c r="H24" t="e">
        <f t="shared" si="10"/>
        <v>#DIV/0!</v>
      </c>
      <c r="I24" s="78">
        <f t="shared" si="11"/>
        <v>0</v>
      </c>
      <c r="J24">
        <f t="shared" si="12"/>
        <v>0</v>
      </c>
      <c r="K24">
        <f t="shared" si="15"/>
        <v>0</v>
      </c>
      <c r="L24">
        <f t="shared" si="13"/>
        <v>0</v>
      </c>
      <c r="N24">
        <f t="shared" si="14"/>
        <v>0</v>
      </c>
    </row>
    <row r="25" spans="1:14">
      <c r="A25" t="e">
        <f t="shared" si="5"/>
        <v>#DIV/0!</v>
      </c>
      <c r="B25" t="e">
        <f t="shared" si="7"/>
        <v>#DIV/0!</v>
      </c>
      <c r="C25" t="s">
        <v>0</v>
      </c>
      <c r="D25" t="e">
        <f t="shared" si="8"/>
        <v>#DIV/0!</v>
      </c>
      <c r="E25" t="s">
        <v>43</v>
      </c>
      <c r="F25" t="e">
        <f t="shared" si="9"/>
        <v>#DIV/0!</v>
      </c>
      <c r="G25" t="s">
        <v>6</v>
      </c>
      <c r="H25" t="e">
        <f t="shared" si="10"/>
        <v>#DIV/0!</v>
      </c>
      <c r="I25" s="78">
        <f t="shared" si="11"/>
        <v>0</v>
      </c>
      <c r="J25">
        <f t="shared" si="12"/>
        <v>0</v>
      </c>
      <c r="K25">
        <f t="shared" si="15"/>
        <v>0</v>
      </c>
      <c r="L25">
        <f t="shared" si="13"/>
        <v>0</v>
      </c>
      <c r="N25">
        <f t="shared" si="14"/>
        <v>0</v>
      </c>
    </row>
    <row r="26" spans="1:14">
      <c r="A26" t="e">
        <f t="shared" si="5"/>
        <v>#DIV/0!</v>
      </c>
      <c r="B26" t="e">
        <f t="shared" si="7"/>
        <v>#DIV/0!</v>
      </c>
      <c r="C26" t="s">
        <v>0</v>
      </c>
      <c r="D26" t="e">
        <f t="shared" si="8"/>
        <v>#DIV/0!</v>
      </c>
      <c r="E26" t="s">
        <v>43</v>
      </c>
      <c r="F26" t="e">
        <f t="shared" si="9"/>
        <v>#DIV/0!</v>
      </c>
      <c r="G26" t="s">
        <v>6</v>
      </c>
      <c r="H26" t="e">
        <f t="shared" si="10"/>
        <v>#DIV/0!</v>
      </c>
      <c r="I26" s="78">
        <f t="shared" si="11"/>
        <v>0</v>
      </c>
      <c r="J26">
        <f t="shared" si="12"/>
        <v>0</v>
      </c>
      <c r="K26">
        <f t="shared" si="15"/>
        <v>0</v>
      </c>
      <c r="L26">
        <f t="shared" si="13"/>
        <v>0</v>
      </c>
      <c r="N26">
        <f t="shared" si="14"/>
        <v>0</v>
      </c>
    </row>
    <row r="27" spans="1:14">
      <c r="A27" t="e">
        <f t="shared" si="5"/>
        <v>#DIV/0!</v>
      </c>
      <c r="B27" t="e">
        <f t="shared" si="7"/>
        <v>#DIV/0!</v>
      </c>
      <c r="C27" t="s">
        <v>0</v>
      </c>
      <c r="D27" t="e">
        <f t="shared" si="8"/>
        <v>#DIV/0!</v>
      </c>
      <c r="E27" t="s">
        <v>43</v>
      </c>
      <c r="F27" t="e">
        <f t="shared" si="9"/>
        <v>#DIV/0!</v>
      </c>
      <c r="G27" t="s">
        <v>6</v>
      </c>
      <c r="H27" t="e">
        <f t="shared" si="10"/>
        <v>#DIV/0!</v>
      </c>
      <c r="I27" s="78">
        <f t="shared" si="11"/>
        <v>0</v>
      </c>
      <c r="J27">
        <f t="shared" si="12"/>
        <v>0</v>
      </c>
      <c r="K27">
        <f t="shared" si="15"/>
        <v>0</v>
      </c>
      <c r="L27">
        <f t="shared" si="13"/>
        <v>0</v>
      </c>
      <c r="N27">
        <f t="shared" si="14"/>
        <v>0</v>
      </c>
    </row>
    <row r="28" spans="1:14">
      <c r="A28" t="e">
        <f t="shared" si="5"/>
        <v>#DIV/0!</v>
      </c>
      <c r="B28" t="e">
        <f t="shared" si="7"/>
        <v>#DIV/0!</v>
      </c>
      <c r="C28" t="s">
        <v>0</v>
      </c>
      <c r="D28" t="e">
        <f t="shared" si="8"/>
        <v>#DIV/0!</v>
      </c>
      <c r="E28" t="s">
        <v>43</v>
      </c>
      <c r="F28" t="e">
        <f t="shared" si="9"/>
        <v>#DIV/0!</v>
      </c>
      <c r="G28" t="s">
        <v>6</v>
      </c>
      <c r="H28" t="e">
        <f t="shared" si="10"/>
        <v>#DIV/0!</v>
      </c>
      <c r="I28" s="78">
        <f t="shared" si="11"/>
        <v>0</v>
      </c>
      <c r="J28">
        <f t="shared" si="12"/>
        <v>0</v>
      </c>
      <c r="K28">
        <f t="shared" si="15"/>
        <v>0</v>
      </c>
      <c r="L28">
        <f t="shared" si="13"/>
        <v>0</v>
      </c>
      <c r="N28">
        <f t="shared" si="14"/>
        <v>0</v>
      </c>
    </row>
    <row r="29" spans="1:14">
      <c r="A29" t="e">
        <f t="shared" si="5"/>
        <v>#DIV/0!</v>
      </c>
      <c r="B29" t="e">
        <f t="shared" si="7"/>
        <v>#DIV/0!</v>
      </c>
      <c r="C29" t="s">
        <v>0</v>
      </c>
      <c r="D29" t="e">
        <f t="shared" si="8"/>
        <v>#DIV/0!</v>
      </c>
      <c r="E29" t="s">
        <v>43</v>
      </c>
      <c r="F29" t="e">
        <f t="shared" si="9"/>
        <v>#DIV/0!</v>
      </c>
      <c r="G29" t="s">
        <v>6</v>
      </c>
      <c r="H29" t="e">
        <f t="shared" si="10"/>
        <v>#DIV/0!</v>
      </c>
      <c r="I29" s="78">
        <f t="shared" si="11"/>
        <v>0</v>
      </c>
      <c r="J29">
        <f t="shared" si="12"/>
        <v>0</v>
      </c>
      <c r="K29">
        <f t="shared" si="15"/>
        <v>0</v>
      </c>
      <c r="L29">
        <f t="shared" si="13"/>
        <v>0</v>
      </c>
      <c r="N29">
        <f t="shared" si="14"/>
        <v>0</v>
      </c>
    </row>
    <row r="30" spans="1:14">
      <c r="A30" t="e">
        <f t="shared" si="5"/>
        <v>#DIV/0!</v>
      </c>
      <c r="B30" t="e">
        <f t="shared" si="7"/>
        <v>#DIV/0!</v>
      </c>
      <c r="C30" t="s">
        <v>0</v>
      </c>
      <c r="D30" t="e">
        <f t="shared" si="8"/>
        <v>#DIV/0!</v>
      </c>
      <c r="E30" t="s">
        <v>43</v>
      </c>
      <c r="F30" t="e">
        <f t="shared" si="9"/>
        <v>#DIV/0!</v>
      </c>
      <c r="G30" t="s">
        <v>6</v>
      </c>
      <c r="H30" t="e">
        <f t="shared" si="10"/>
        <v>#DIV/0!</v>
      </c>
      <c r="I30" s="78">
        <f t="shared" si="11"/>
        <v>0</v>
      </c>
      <c r="J30">
        <f t="shared" si="12"/>
        <v>0</v>
      </c>
      <c r="K30">
        <f t="shared" si="15"/>
        <v>0</v>
      </c>
      <c r="L30">
        <f t="shared" si="13"/>
        <v>0</v>
      </c>
      <c r="N30">
        <f t="shared" si="14"/>
        <v>0</v>
      </c>
    </row>
    <row r="31" spans="1:14">
      <c r="A31" t="e">
        <f t="shared" si="5"/>
        <v>#DIV/0!</v>
      </c>
      <c r="B31" t="e">
        <f t="shared" si="7"/>
        <v>#DIV/0!</v>
      </c>
      <c r="C31" t="s">
        <v>0</v>
      </c>
      <c r="D31" t="e">
        <f t="shared" si="8"/>
        <v>#DIV/0!</v>
      </c>
      <c r="E31" t="s">
        <v>43</v>
      </c>
      <c r="F31" t="e">
        <f t="shared" si="9"/>
        <v>#DIV/0!</v>
      </c>
      <c r="G31" t="s">
        <v>6</v>
      </c>
      <c r="H31" t="e">
        <f t="shared" si="10"/>
        <v>#DIV/0!</v>
      </c>
      <c r="I31" s="78">
        <f t="shared" si="11"/>
        <v>0</v>
      </c>
      <c r="J31">
        <f t="shared" si="12"/>
        <v>0</v>
      </c>
      <c r="K31">
        <f t="shared" si="15"/>
        <v>0</v>
      </c>
      <c r="L31">
        <f t="shared" si="13"/>
        <v>0</v>
      </c>
      <c r="N31">
        <f t="shared" si="14"/>
        <v>0</v>
      </c>
    </row>
    <row r="32" spans="1:14">
      <c r="A32" t="e">
        <f t="shared" si="5"/>
        <v>#DIV/0!</v>
      </c>
      <c r="B32" t="e">
        <f t="shared" si="7"/>
        <v>#DIV/0!</v>
      </c>
      <c r="C32" t="s">
        <v>0</v>
      </c>
      <c r="D32" t="e">
        <f t="shared" si="8"/>
        <v>#DIV/0!</v>
      </c>
      <c r="E32" t="s">
        <v>43</v>
      </c>
      <c r="F32" t="e">
        <f t="shared" si="9"/>
        <v>#DIV/0!</v>
      </c>
      <c r="G32" t="s">
        <v>6</v>
      </c>
      <c r="H32" t="e">
        <f t="shared" si="10"/>
        <v>#DIV/0!</v>
      </c>
      <c r="I32" s="78">
        <f t="shared" si="11"/>
        <v>0</v>
      </c>
      <c r="J32">
        <f t="shared" si="12"/>
        <v>0</v>
      </c>
      <c r="K32">
        <f t="shared" si="15"/>
        <v>0</v>
      </c>
      <c r="L32">
        <f t="shared" si="13"/>
        <v>0</v>
      </c>
      <c r="N32">
        <f t="shared" si="14"/>
        <v>0</v>
      </c>
    </row>
    <row r="33" spans="1:14">
      <c r="A33" t="e">
        <f t="shared" si="5"/>
        <v>#DIV/0!</v>
      </c>
      <c r="B33" t="e">
        <f t="shared" si="7"/>
        <v>#DIV/0!</v>
      </c>
      <c r="C33" t="s">
        <v>0</v>
      </c>
      <c r="D33" t="e">
        <f t="shared" si="8"/>
        <v>#DIV/0!</v>
      </c>
      <c r="E33" t="s">
        <v>43</v>
      </c>
      <c r="F33" t="e">
        <f t="shared" si="9"/>
        <v>#DIV/0!</v>
      </c>
      <c r="G33" t="s">
        <v>6</v>
      </c>
      <c r="H33" t="e">
        <f t="shared" si="10"/>
        <v>#DIV/0!</v>
      </c>
      <c r="I33" s="78">
        <f t="shared" si="11"/>
        <v>0</v>
      </c>
      <c r="J33">
        <f t="shared" si="12"/>
        <v>0</v>
      </c>
      <c r="K33">
        <f t="shared" si="15"/>
        <v>0</v>
      </c>
      <c r="L33">
        <f t="shared" si="13"/>
        <v>0</v>
      </c>
      <c r="N33">
        <f t="shared" si="14"/>
        <v>0</v>
      </c>
    </row>
    <row r="34" spans="1:14">
      <c r="A34" t="e">
        <f t="shared" si="5"/>
        <v>#DIV/0!</v>
      </c>
      <c r="B34" t="e">
        <f t="shared" si="7"/>
        <v>#DIV/0!</v>
      </c>
      <c r="C34" t="s">
        <v>0</v>
      </c>
      <c r="D34" t="e">
        <f t="shared" si="8"/>
        <v>#DIV/0!</v>
      </c>
      <c r="E34" t="s">
        <v>43</v>
      </c>
      <c r="F34" t="e">
        <f t="shared" si="9"/>
        <v>#DIV/0!</v>
      </c>
      <c r="G34" t="s">
        <v>6</v>
      </c>
      <c r="H34" t="e">
        <f t="shared" si="10"/>
        <v>#DIV/0!</v>
      </c>
      <c r="I34" s="78">
        <f t="shared" si="11"/>
        <v>0</v>
      </c>
      <c r="J34">
        <f t="shared" si="12"/>
        <v>0</v>
      </c>
      <c r="K34">
        <f t="shared" si="15"/>
        <v>0</v>
      </c>
      <c r="L34">
        <f t="shared" si="13"/>
        <v>0</v>
      </c>
      <c r="N34">
        <f t="shared" si="14"/>
        <v>0</v>
      </c>
    </row>
    <row r="35" spans="1:14">
      <c r="B35" t="e">
        <f t="shared" si="7"/>
        <v>#DIV/0!</v>
      </c>
      <c r="C35" t="s">
        <v>0</v>
      </c>
      <c r="D35" t="e">
        <f t="shared" si="8"/>
        <v>#DIV/0!</v>
      </c>
      <c r="E35" t="s">
        <v>43</v>
      </c>
      <c r="F35" t="e">
        <f t="shared" si="9"/>
        <v>#DIV/0!</v>
      </c>
      <c r="G35" t="s">
        <v>6</v>
      </c>
      <c r="H35" t="e">
        <f t="shared" si="10"/>
        <v>#DIV/0!</v>
      </c>
      <c r="I35" s="78">
        <f t="shared" si="11"/>
        <v>0</v>
      </c>
      <c r="J35">
        <f t="shared" si="12"/>
        <v>0</v>
      </c>
      <c r="K35">
        <f t="shared" si="15"/>
        <v>0</v>
      </c>
      <c r="L35">
        <f t="shared" si="13"/>
        <v>0</v>
      </c>
      <c r="N35">
        <f t="shared" si="14"/>
        <v>0</v>
      </c>
    </row>
    <row r="36" spans="1:14">
      <c r="B36" t="e">
        <f t="shared" si="7"/>
        <v>#DIV/0!</v>
      </c>
      <c r="C36" t="s">
        <v>0</v>
      </c>
      <c r="D36" t="e">
        <f t="shared" si="8"/>
        <v>#DIV/0!</v>
      </c>
      <c r="E36" t="s">
        <v>43</v>
      </c>
      <c r="F36" t="e">
        <f t="shared" si="9"/>
        <v>#DIV/0!</v>
      </c>
      <c r="G36" t="s">
        <v>6</v>
      </c>
      <c r="H36" t="e">
        <f t="shared" si="10"/>
        <v>#DIV/0!</v>
      </c>
      <c r="I36" s="78">
        <f t="shared" si="11"/>
        <v>0</v>
      </c>
      <c r="J36">
        <f t="shared" si="12"/>
        <v>0</v>
      </c>
      <c r="K36">
        <f t="shared" si="15"/>
        <v>0</v>
      </c>
      <c r="L36">
        <f t="shared" si="13"/>
        <v>0</v>
      </c>
      <c r="N36">
        <f t="shared" si="14"/>
        <v>0</v>
      </c>
    </row>
    <row r="37" spans="1:14">
      <c r="B37" t="e">
        <f t="shared" si="7"/>
        <v>#DIV/0!</v>
      </c>
      <c r="C37" t="s">
        <v>0</v>
      </c>
      <c r="D37" t="e">
        <f t="shared" si="8"/>
        <v>#DIV/0!</v>
      </c>
      <c r="E37" t="s">
        <v>43</v>
      </c>
      <c r="F37" t="e">
        <f t="shared" si="9"/>
        <v>#DIV/0!</v>
      </c>
      <c r="G37" t="s">
        <v>6</v>
      </c>
      <c r="H37" t="e">
        <f t="shared" si="10"/>
        <v>#DIV/0!</v>
      </c>
      <c r="I37" s="78">
        <f t="shared" si="11"/>
        <v>0</v>
      </c>
      <c r="J37">
        <f t="shared" si="12"/>
        <v>0</v>
      </c>
      <c r="K37">
        <f t="shared" si="15"/>
        <v>0</v>
      </c>
      <c r="L37">
        <f t="shared" si="13"/>
        <v>0</v>
      </c>
      <c r="N37">
        <f t="shared" si="14"/>
        <v>0</v>
      </c>
    </row>
    <row r="38" spans="1:14">
      <c r="B38" t="e">
        <f t="shared" si="7"/>
        <v>#DIV/0!</v>
      </c>
      <c r="C38" t="s">
        <v>0</v>
      </c>
      <c r="D38" t="e">
        <f t="shared" si="8"/>
        <v>#DIV/0!</v>
      </c>
      <c r="E38" t="s">
        <v>43</v>
      </c>
      <c r="F38" t="e">
        <f t="shared" si="9"/>
        <v>#DIV/0!</v>
      </c>
      <c r="G38" t="s">
        <v>6</v>
      </c>
      <c r="H38" t="e">
        <f t="shared" si="10"/>
        <v>#DIV/0!</v>
      </c>
      <c r="I38" s="78">
        <f t="shared" si="11"/>
        <v>1</v>
      </c>
      <c r="J38">
        <f t="shared" si="12"/>
        <v>0</v>
      </c>
      <c r="K38">
        <f t="shared" si="15"/>
        <v>0</v>
      </c>
      <c r="L38">
        <f t="shared" si="13"/>
        <v>0</v>
      </c>
      <c r="N38">
        <f t="shared" si="14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Blad11"/>
  <dimension ref="A2:O22"/>
  <sheetViews>
    <sheetView topLeftCell="A7" workbookViewId="0">
      <selection activeCell="D9" sqref="D9"/>
    </sheetView>
  </sheetViews>
  <sheetFormatPr defaultRowHeight="15"/>
  <cols>
    <col min="2" max="2" width="13" customWidth="1"/>
    <col min="3" max="3" width="1.85546875" customWidth="1"/>
    <col min="4" max="6" width="13" customWidth="1"/>
    <col min="7" max="7" width="1.85546875" customWidth="1"/>
    <col min="8" max="10" width="13" customWidth="1"/>
    <col min="12" max="13" width="10.5703125" bestFit="1" customWidth="1"/>
    <col min="15" max="15" width="27.28515625" bestFit="1" customWidth="1"/>
  </cols>
  <sheetData>
    <row r="2" spans="1:15" s="1" customFormat="1" ht="23.25">
      <c r="B2" s="1" t="s">
        <v>35</v>
      </c>
    </row>
    <row r="3" spans="1:15" s="1" customFormat="1" ht="23.25">
      <c r="B3" s="1" t="s">
        <v>27</v>
      </c>
    </row>
    <row r="4" spans="1:15" s="1" customFormat="1" ht="23.25">
      <c r="B4" s="1" t="s">
        <v>33</v>
      </c>
    </row>
    <row r="5" spans="1:15" s="1" customFormat="1" ht="23.25">
      <c r="B5" s="1" t="s">
        <v>34</v>
      </c>
    </row>
    <row r="6" spans="1:15" s="1" customFormat="1" ht="23.25">
      <c r="B6" s="1" t="s">
        <v>36</v>
      </c>
    </row>
    <row r="8" spans="1:15" ht="15.75" thickBot="1">
      <c r="B8" s="16" t="s">
        <v>4</v>
      </c>
      <c r="D8" s="16" t="s">
        <v>14</v>
      </c>
      <c r="F8" s="16" t="s">
        <v>5</v>
      </c>
      <c r="H8" s="16" t="s">
        <v>15</v>
      </c>
      <c r="J8" s="16" t="s">
        <v>7</v>
      </c>
    </row>
    <row r="9" spans="1:15" ht="37.5" customHeight="1" thickBot="1">
      <c r="B9" s="15">
        <f>berekenA!A17</f>
        <v>5</v>
      </c>
      <c r="C9" s="11"/>
      <c r="D9" s="40">
        <f>D18</f>
        <v>5</v>
      </c>
      <c r="E9" s="17" t="s">
        <v>6</v>
      </c>
      <c r="F9" s="15">
        <f>-1008</f>
        <v>-1008</v>
      </c>
      <c r="G9" s="11"/>
      <c r="H9" s="40">
        <f>H18</f>
        <v>-2</v>
      </c>
      <c r="I9" s="17" t="s">
        <v>0</v>
      </c>
      <c r="J9" s="15">
        <f>eucl_ggd</f>
        <v>1</v>
      </c>
      <c r="K9" s="18"/>
      <c r="L9" s="19"/>
      <c r="M9" s="21" t="str">
        <f>IF(B9*D9+F9*H9=J9,"OK",":-(")</f>
        <v>:-(</v>
      </c>
    </row>
    <row r="10" spans="1:15" s="37" customFormat="1" ht="12.75" customHeight="1" thickBot="1">
      <c r="B10" s="34"/>
      <c r="C10" s="11"/>
      <c r="D10" s="16" t="s">
        <v>32</v>
      </c>
      <c r="E10" s="35"/>
      <c r="F10" s="34"/>
      <c r="G10" s="11"/>
      <c r="H10" s="16" t="s">
        <v>31</v>
      </c>
      <c r="I10" s="35"/>
      <c r="J10" s="11"/>
      <c r="K10" s="32"/>
      <c r="L10" s="32"/>
      <c r="M10" s="33"/>
    </row>
    <row r="11" spans="1:15" s="37" customFormat="1" ht="37.5" customHeight="1" thickTop="1" thickBot="1">
      <c r="A11" s="38" t="s">
        <v>16</v>
      </c>
      <c r="B11" s="34"/>
      <c r="C11" s="11"/>
      <c r="D11" s="56">
        <f>lin_vgl_b/J13</f>
        <v>-1008</v>
      </c>
      <c r="E11" s="55"/>
      <c r="F11" s="34"/>
      <c r="G11" s="11"/>
      <c r="H11" s="56">
        <f>-lin_vgl_a/J13</f>
        <v>-5</v>
      </c>
      <c r="I11" s="55"/>
      <c r="J11" s="11"/>
      <c r="K11" s="32"/>
      <c r="L11" s="32"/>
      <c r="M11" s="33"/>
    </row>
    <row r="12" spans="1:15" s="37" customFormat="1" ht="12.75" customHeight="1" thickTop="1" thickBot="1">
      <c r="B12" s="34"/>
      <c r="C12" s="11"/>
      <c r="D12" s="11"/>
      <c r="E12" s="35"/>
      <c r="F12" s="34"/>
      <c r="G12" s="11"/>
      <c r="H12" s="11"/>
      <c r="I12" s="35"/>
      <c r="J12" s="11"/>
      <c r="K12" s="32"/>
      <c r="L12" s="32"/>
      <c r="M12" s="33"/>
    </row>
    <row r="13" spans="1:15" s="37" customFormat="1" ht="37.5" customHeight="1" thickTop="1" thickBot="1">
      <c r="B13" s="34">
        <f>lin_vgl_a</f>
        <v>5</v>
      </c>
      <c r="C13" s="11"/>
      <c r="D13" s="39">
        <f>D22</f>
        <v>5</v>
      </c>
      <c r="E13" s="35" t="s">
        <v>6</v>
      </c>
      <c r="F13" s="34">
        <f>lin_vgl_b</f>
        <v>-1008</v>
      </c>
      <c r="G13" s="11"/>
      <c r="H13" s="39">
        <f>H22</f>
        <v>-2</v>
      </c>
      <c r="I13" s="35" t="s">
        <v>0</v>
      </c>
      <c r="J13" s="11">
        <f>ABS(eucl_ggd)</f>
        <v>1</v>
      </c>
      <c r="K13" s="32"/>
      <c r="L13" s="32"/>
      <c r="M13" s="21" t="str">
        <f t="shared" ref="M13" si="0">IF(B13*D13+F13*H13=J13,"OK",":-(")</f>
        <v>:-(</v>
      </c>
      <c r="O13" s="41" t="s">
        <v>17</v>
      </c>
    </row>
    <row r="14" spans="1:15" s="37" customFormat="1" ht="15" customHeight="1" thickTop="1">
      <c r="B14" s="34"/>
      <c r="C14" s="11"/>
      <c r="D14" s="11"/>
      <c r="E14" s="35"/>
      <c r="F14" s="34"/>
      <c r="G14" s="11"/>
      <c r="H14" s="11"/>
      <c r="I14" s="35"/>
      <c r="J14" s="11"/>
      <c r="K14" s="32"/>
      <c r="L14" s="32"/>
      <c r="M14" s="36"/>
    </row>
    <row r="15" spans="1:15" s="58" customFormat="1" ht="15" customHeight="1" thickBot="1"/>
    <row r="16" spans="1:15" s="59" customFormat="1" ht="29.25" customHeight="1" thickTop="1"/>
    <row r="18" spans="2:10">
      <c r="B18">
        <f>B13</f>
        <v>5</v>
      </c>
      <c r="D18">
        <f>eucl_x</f>
        <v>5</v>
      </c>
      <c r="E18" t="str">
        <f>E13</f>
        <v>+</v>
      </c>
      <c r="F18">
        <f>F13</f>
        <v>-1008</v>
      </c>
      <c r="H18">
        <f>eucl_y</f>
        <v>-2</v>
      </c>
      <c r="I18" t="str">
        <f>I13</f>
        <v>=</v>
      </c>
      <c r="J18">
        <f>J13</f>
        <v>1</v>
      </c>
    </row>
    <row r="20" spans="2:10">
      <c r="D20" t="s">
        <v>44</v>
      </c>
      <c r="F20">
        <f>lin_vgl_c/J13</f>
        <v>1</v>
      </c>
    </row>
    <row r="22" spans="2:10">
      <c r="B22">
        <f>B18</f>
        <v>5</v>
      </c>
      <c r="D22">
        <f>D18*F20</f>
        <v>5</v>
      </c>
      <c r="E22" t="str">
        <f>E18</f>
        <v>+</v>
      </c>
      <c r="F22">
        <f>F18</f>
        <v>-1008</v>
      </c>
      <c r="H22">
        <f>H18*F20</f>
        <v>-2</v>
      </c>
      <c r="J22">
        <f>J18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Blad4"/>
  <dimension ref="B1:BL907"/>
  <sheetViews>
    <sheetView workbookViewId="0">
      <selection activeCell="E9" sqref="E9"/>
    </sheetView>
  </sheetViews>
  <sheetFormatPr defaultRowHeight="15"/>
  <cols>
    <col min="3" max="3" width="26" customWidth="1"/>
    <col min="4" max="4" width="10.5703125" bestFit="1" customWidth="1"/>
    <col min="7" max="8" width="9.140625" style="28"/>
    <col min="9" max="10" width="9.140625" style="13"/>
    <col min="11" max="11" width="12.42578125" style="28" bestFit="1" customWidth="1"/>
    <col min="12" max="12" width="12.5703125" style="30" bestFit="1" customWidth="1"/>
    <col min="13" max="13" width="1.85546875" style="30" customWidth="1"/>
    <col min="14" max="14" width="13.42578125" style="43" customWidth="1"/>
    <col min="15" max="15" width="1.85546875" style="30" customWidth="1"/>
    <col min="16" max="16" width="10.42578125" style="43" customWidth="1"/>
    <col min="17" max="17" width="1.85546875" style="30" customWidth="1"/>
    <col min="18" max="18" width="7" style="30" customWidth="1"/>
    <col min="19" max="49" width="3.7109375" customWidth="1"/>
    <col min="51" max="51" width="7" style="30" customWidth="1"/>
    <col min="52" max="81" width="3.7109375" customWidth="1"/>
  </cols>
  <sheetData>
    <row r="1" spans="2:64">
      <c r="G1"/>
      <c r="H1"/>
      <c r="I1"/>
    </row>
    <row r="2" spans="2:64" s="1" customFormat="1" ht="23.25">
      <c r="B2" s="1" t="s">
        <v>19</v>
      </c>
      <c r="J2" s="74" t="s">
        <v>26</v>
      </c>
      <c r="K2" s="75"/>
      <c r="L2" s="76"/>
      <c r="M2" s="42"/>
      <c r="N2" s="42"/>
      <c r="O2" s="42"/>
      <c r="P2" s="42"/>
      <c r="Q2" s="42"/>
      <c r="R2" s="42"/>
      <c r="AY2" s="42"/>
    </row>
    <row r="3" spans="2:64" s="1" customFormat="1" ht="23.25">
      <c r="B3" s="1" t="s">
        <v>20</v>
      </c>
      <c r="J3" s="75"/>
      <c r="K3" s="75"/>
      <c r="L3" s="76"/>
      <c r="M3" s="42"/>
      <c r="N3" s="42"/>
      <c r="O3" s="42"/>
      <c r="P3" s="42"/>
      <c r="Q3" s="42"/>
      <c r="R3" s="42"/>
      <c r="AY3" s="42"/>
    </row>
    <row r="4" spans="2:64" s="1" customFormat="1" ht="23.25">
      <c r="B4" s="1" t="s">
        <v>13</v>
      </c>
      <c r="J4" s="75"/>
      <c r="K4" s="75"/>
      <c r="L4" s="76"/>
      <c r="M4" s="42"/>
      <c r="N4" s="42"/>
      <c r="O4" s="42"/>
      <c r="P4" s="42"/>
      <c r="Q4" s="42"/>
      <c r="R4" s="42"/>
      <c r="AY4" s="42"/>
    </row>
    <row r="5" spans="2:64" s="1" customFormat="1" ht="23.25">
      <c r="B5" s="1" t="s">
        <v>9</v>
      </c>
      <c r="J5" s="75"/>
      <c r="K5" s="75"/>
      <c r="L5" s="76"/>
      <c r="M5" s="42"/>
      <c r="N5" s="42"/>
      <c r="O5" s="42"/>
      <c r="P5" s="42"/>
      <c r="Q5" s="42"/>
      <c r="R5" s="42"/>
      <c r="AY5" s="42"/>
    </row>
    <row r="6" spans="2:64">
      <c r="G6"/>
      <c r="H6"/>
      <c r="I6"/>
    </row>
    <row r="7" spans="2:64" ht="15.75" thickBot="1">
      <c r="C7" s="16" t="s">
        <v>14</v>
      </c>
      <c r="E7" s="16" t="s">
        <v>21</v>
      </c>
      <c r="G7"/>
      <c r="H7"/>
      <c r="I7"/>
    </row>
    <row r="8" spans="2:64" ht="37.5" customHeight="1" thickTop="1" thickBot="1">
      <c r="B8" s="2"/>
      <c r="C8" s="15">
        <v>14622</v>
      </c>
      <c r="E8" s="15">
        <v>4</v>
      </c>
      <c r="F8" s="14"/>
      <c r="G8" s="2"/>
      <c r="H8" s="71">
        <f>kleinste_deler(delers_deeltal,delers_grens)</f>
        <v>6</v>
      </c>
      <c r="I8" s="72"/>
      <c r="J8" s="73"/>
    </row>
    <row r="9" spans="2:64" s="58" customFormat="1" ht="16.5" thickTop="1" thickBot="1">
      <c r="J9" s="62"/>
      <c r="K9" s="63"/>
      <c r="L9" s="63"/>
      <c r="M9" s="63"/>
      <c r="N9" s="64"/>
      <c r="O9" s="63"/>
      <c r="P9" s="64"/>
      <c r="Q9" s="63"/>
      <c r="R9" s="63"/>
      <c r="AY9" s="63"/>
    </row>
    <row r="10" spans="2:64" s="59" customFormat="1" ht="15.75" thickTop="1">
      <c r="J10" s="65"/>
      <c r="K10" s="66"/>
      <c r="L10" s="66"/>
      <c r="M10" s="66"/>
      <c r="N10" s="67"/>
      <c r="O10" s="66"/>
      <c r="P10" s="67"/>
      <c r="Q10" s="66"/>
      <c r="R10" s="66"/>
      <c r="AY10" s="66"/>
    </row>
    <row r="13" spans="2:64">
      <c r="R13" s="20"/>
      <c r="AY13" s="20"/>
    </row>
    <row r="14" spans="2:64">
      <c r="R14" s="20"/>
      <c r="AY14" s="20"/>
    </row>
    <row r="15" spans="2:64"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</row>
    <row r="569" spans="3:3">
      <c r="C569" s="12"/>
    </row>
    <row r="570" spans="3:3">
      <c r="C570" s="12"/>
    </row>
    <row r="571" spans="3:3">
      <c r="C571" s="12"/>
    </row>
    <row r="572" spans="3:3">
      <c r="C572" s="12"/>
    </row>
    <row r="573" spans="3:3">
      <c r="C573" s="12"/>
    </row>
    <row r="574" spans="3:3">
      <c r="C574" s="12"/>
    </row>
    <row r="575" spans="3:3">
      <c r="C575" s="12"/>
    </row>
    <row r="576" spans="3:3">
      <c r="C576" s="12"/>
    </row>
    <row r="577" spans="3:3">
      <c r="C577" s="12"/>
    </row>
    <row r="578" spans="3:3">
      <c r="C578" s="12"/>
    </row>
    <row r="579" spans="3:3">
      <c r="C579" s="12"/>
    </row>
    <row r="580" spans="3:3">
      <c r="C580" s="12"/>
    </row>
    <row r="581" spans="3:3">
      <c r="C581" s="12"/>
    </row>
    <row r="582" spans="3:3">
      <c r="C582" s="12"/>
    </row>
    <row r="583" spans="3:3">
      <c r="C583" s="12"/>
    </row>
    <row r="584" spans="3:3">
      <c r="C584" s="12"/>
    </row>
    <row r="585" spans="3:3">
      <c r="C585" s="12"/>
    </row>
    <row r="586" spans="3:3">
      <c r="C586" s="12"/>
    </row>
    <row r="587" spans="3:3">
      <c r="C587" s="12"/>
    </row>
    <row r="588" spans="3:3">
      <c r="C588" s="12"/>
    </row>
    <row r="589" spans="3:3">
      <c r="C589" s="12"/>
    </row>
    <row r="590" spans="3:3">
      <c r="C590" s="12"/>
    </row>
    <row r="591" spans="3:3">
      <c r="C591" s="12"/>
    </row>
    <row r="592" spans="3:3">
      <c r="C592" s="12"/>
    </row>
    <row r="593" spans="3:3">
      <c r="C593" s="12"/>
    </row>
    <row r="594" spans="3:3">
      <c r="C594" s="12"/>
    </row>
    <row r="595" spans="3:3">
      <c r="C595" s="12"/>
    </row>
    <row r="596" spans="3:3">
      <c r="C596" s="12"/>
    </row>
    <row r="597" spans="3:3">
      <c r="C597" s="12"/>
    </row>
    <row r="598" spans="3:3">
      <c r="C598" s="12"/>
    </row>
    <row r="599" spans="3:3">
      <c r="C599" s="12"/>
    </row>
    <row r="600" spans="3:3">
      <c r="C600" s="12"/>
    </row>
    <row r="601" spans="3:3">
      <c r="C601" s="12"/>
    </row>
    <row r="602" spans="3:3">
      <c r="C602" s="12"/>
    </row>
    <row r="603" spans="3:3">
      <c r="C603" s="12"/>
    </row>
    <row r="604" spans="3:3">
      <c r="C604" s="12"/>
    </row>
    <row r="605" spans="3:3">
      <c r="C605" s="12"/>
    </row>
    <row r="606" spans="3:3">
      <c r="C606" s="12"/>
    </row>
    <row r="607" spans="3:3">
      <c r="C607" s="12"/>
    </row>
    <row r="608" spans="3:3">
      <c r="C608" s="12"/>
    </row>
    <row r="609" spans="3:3">
      <c r="C609" s="12"/>
    </row>
    <row r="610" spans="3:3">
      <c r="C610" s="12"/>
    </row>
    <row r="611" spans="3:3">
      <c r="C611" s="12"/>
    </row>
    <row r="612" spans="3:3">
      <c r="C612" s="12"/>
    </row>
    <row r="613" spans="3:3">
      <c r="C613" s="12"/>
    </row>
    <row r="614" spans="3:3">
      <c r="C614" s="12"/>
    </row>
    <row r="615" spans="3:3">
      <c r="C615" s="12"/>
    </row>
    <row r="616" spans="3:3">
      <c r="C616" s="12"/>
    </row>
    <row r="617" spans="3:3">
      <c r="C617" s="12"/>
    </row>
    <row r="618" spans="3:3">
      <c r="C618" s="12"/>
    </row>
    <row r="619" spans="3:3">
      <c r="C619" s="12"/>
    </row>
    <row r="620" spans="3:3">
      <c r="C620" s="12"/>
    </row>
    <row r="621" spans="3:3">
      <c r="C621" s="12"/>
    </row>
    <row r="622" spans="3:3">
      <c r="C622" s="12"/>
    </row>
    <row r="623" spans="3:3">
      <c r="C623" s="12"/>
    </row>
    <row r="624" spans="3:3">
      <c r="C624" s="12"/>
    </row>
    <row r="625" spans="3:3">
      <c r="C625" s="12"/>
    </row>
    <row r="626" spans="3:3">
      <c r="C626" s="12"/>
    </row>
    <row r="627" spans="3:3">
      <c r="C627" s="12"/>
    </row>
    <row r="628" spans="3:3">
      <c r="C628" s="12"/>
    </row>
    <row r="629" spans="3:3">
      <c r="C629" s="12"/>
    </row>
    <row r="630" spans="3:3">
      <c r="C630" s="12"/>
    </row>
    <row r="631" spans="3:3">
      <c r="C631" s="12"/>
    </row>
    <row r="632" spans="3:3">
      <c r="C632" s="12"/>
    </row>
    <row r="633" spans="3:3">
      <c r="C633" s="12"/>
    </row>
    <row r="634" spans="3:3">
      <c r="C634" s="12"/>
    </row>
    <row r="635" spans="3:3">
      <c r="C635" s="12"/>
    </row>
    <row r="636" spans="3:3">
      <c r="C636" s="12"/>
    </row>
    <row r="637" spans="3:3">
      <c r="C637" s="12"/>
    </row>
    <row r="638" spans="3:3">
      <c r="C638" s="12"/>
    </row>
    <row r="639" spans="3:3">
      <c r="C639" s="12"/>
    </row>
    <row r="640" spans="3:3">
      <c r="C640" s="12"/>
    </row>
    <row r="641" spans="3:3">
      <c r="C641" s="12"/>
    </row>
    <row r="642" spans="3:3">
      <c r="C642" s="12"/>
    </row>
    <row r="643" spans="3:3">
      <c r="C643" s="12"/>
    </row>
    <row r="644" spans="3:3">
      <c r="C644" s="12"/>
    </row>
    <row r="645" spans="3:3">
      <c r="C645" s="12"/>
    </row>
    <row r="646" spans="3:3">
      <c r="C646" s="12"/>
    </row>
    <row r="647" spans="3:3">
      <c r="C647" s="12"/>
    </row>
    <row r="648" spans="3:3">
      <c r="C648" s="12"/>
    </row>
    <row r="649" spans="3:3">
      <c r="C649" s="12"/>
    </row>
    <row r="650" spans="3:3">
      <c r="C650" s="12"/>
    </row>
    <row r="651" spans="3:3">
      <c r="C651" s="12"/>
    </row>
    <row r="652" spans="3:3">
      <c r="C652" s="12"/>
    </row>
    <row r="653" spans="3:3">
      <c r="C653" s="12"/>
    </row>
    <row r="654" spans="3:3">
      <c r="C654" s="12"/>
    </row>
    <row r="655" spans="3:3">
      <c r="C655" s="12"/>
    </row>
    <row r="656" spans="3:3">
      <c r="C656" s="12"/>
    </row>
    <row r="657" spans="3:3">
      <c r="C657" s="12"/>
    </row>
    <row r="658" spans="3:3">
      <c r="C658" s="12"/>
    </row>
    <row r="659" spans="3:3">
      <c r="C659" s="12"/>
    </row>
    <row r="660" spans="3:3">
      <c r="C660" s="12"/>
    </row>
    <row r="661" spans="3:3">
      <c r="C661" s="12"/>
    </row>
    <row r="662" spans="3:3">
      <c r="C662" s="12"/>
    </row>
    <row r="663" spans="3:3">
      <c r="C663" s="12"/>
    </row>
    <row r="664" spans="3:3">
      <c r="C664" s="12"/>
    </row>
    <row r="665" spans="3:3">
      <c r="C665" s="12"/>
    </row>
    <row r="666" spans="3:3">
      <c r="C666" s="12"/>
    </row>
    <row r="667" spans="3:3">
      <c r="C667" s="12"/>
    </row>
    <row r="668" spans="3:3">
      <c r="C668" s="12"/>
    </row>
    <row r="669" spans="3:3">
      <c r="C669" s="12"/>
    </row>
    <row r="670" spans="3:3">
      <c r="C670" s="12"/>
    </row>
    <row r="671" spans="3:3">
      <c r="C671" s="12"/>
    </row>
    <row r="672" spans="3:3">
      <c r="C672" s="12"/>
    </row>
    <row r="673" spans="3:3">
      <c r="C673" s="12"/>
    </row>
    <row r="674" spans="3:3">
      <c r="C674" s="12"/>
    </row>
    <row r="675" spans="3:3">
      <c r="C675" s="12"/>
    </row>
    <row r="676" spans="3:3">
      <c r="C676" s="12"/>
    </row>
    <row r="677" spans="3:3">
      <c r="C677" s="12"/>
    </row>
    <row r="678" spans="3:3">
      <c r="C678" s="12"/>
    </row>
    <row r="679" spans="3:3">
      <c r="C679" s="12"/>
    </row>
    <row r="680" spans="3:3">
      <c r="C680" s="12"/>
    </row>
    <row r="681" spans="3:3">
      <c r="C681" s="12"/>
    </row>
    <row r="682" spans="3:3">
      <c r="C682" s="12"/>
    </row>
    <row r="683" spans="3:3">
      <c r="C683" s="12"/>
    </row>
    <row r="684" spans="3:3">
      <c r="C684" s="12"/>
    </row>
    <row r="685" spans="3:3">
      <c r="C685" s="12"/>
    </row>
    <row r="686" spans="3:3">
      <c r="C686" s="12"/>
    </row>
    <row r="687" spans="3:3">
      <c r="C687" s="12"/>
    </row>
    <row r="688" spans="3:3">
      <c r="C688" s="12"/>
    </row>
    <row r="689" spans="3:3">
      <c r="C689" s="12"/>
    </row>
    <row r="690" spans="3:3">
      <c r="C690" s="12"/>
    </row>
    <row r="691" spans="3:3">
      <c r="C691" s="12"/>
    </row>
    <row r="692" spans="3:3">
      <c r="C692" s="12"/>
    </row>
    <row r="693" spans="3:3">
      <c r="C693" s="12"/>
    </row>
    <row r="694" spans="3:3">
      <c r="C694" s="12"/>
    </row>
    <row r="695" spans="3:3">
      <c r="C695" s="12"/>
    </row>
    <row r="696" spans="3:3">
      <c r="C696" s="12"/>
    </row>
    <row r="697" spans="3:3">
      <c r="C697" s="12"/>
    </row>
    <row r="698" spans="3:3">
      <c r="C698" s="12"/>
    </row>
    <row r="699" spans="3:3">
      <c r="C699" s="12"/>
    </row>
    <row r="700" spans="3:3">
      <c r="C700" s="12"/>
    </row>
    <row r="701" spans="3:3">
      <c r="C701" s="12"/>
    </row>
    <row r="702" spans="3:3">
      <c r="C702" s="12"/>
    </row>
    <row r="703" spans="3:3">
      <c r="C703" s="12"/>
    </row>
    <row r="704" spans="3:3">
      <c r="C704" s="12"/>
    </row>
    <row r="705" spans="3:3">
      <c r="C705" s="12"/>
    </row>
    <row r="706" spans="3:3">
      <c r="C706" s="12"/>
    </row>
    <row r="707" spans="3:3">
      <c r="C707" s="12"/>
    </row>
    <row r="708" spans="3:3">
      <c r="C708" s="12"/>
    </row>
    <row r="709" spans="3:3">
      <c r="C709" s="12"/>
    </row>
    <row r="710" spans="3:3">
      <c r="C710" s="12"/>
    </row>
    <row r="711" spans="3:3">
      <c r="C711" s="12"/>
    </row>
    <row r="712" spans="3:3">
      <c r="C712" s="12"/>
    </row>
    <row r="713" spans="3:3">
      <c r="C713" s="12"/>
    </row>
    <row r="714" spans="3:3">
      <c r="C714" s="12"/>
    </row>
    <row r="715" spans="3:3">
      <c r="C715" s="12"/>
    </row>
    <row r="716" spans="3:3">
      <c r="C716" s="12"/>
    </row>
    <row r="717" spans="3:3">
      <c r="C717" s="12"/>
    </row>
    <row r="718" spans="3:3">
      <c r="C718" s="12"/>
    </row>
    <row r="719" spans="3:3">
      <c r="C719" s="12"/>
    </row>
    <row r="720" spans="3:3">
      <c r="C720" s="12"/>
    </row>
    <row r="721" spans="3:3">
      <c r="C721" s="12"/>
    </row>
    <row r="722" spans="3:3">
      <c r="C722" s="12"/>
    </row>
    <row r="723" spans="3:3">
      <c r="C723" s="12"/>
    </row>
    <row r="724" spans="3:3">
      <c r="C724" s="12"/>
    </row>
    <row r="725" spans="3:3">
      <c r="C725" s="12"/>
    </row>
    <row r="726" spans="3:3">
      <c r="C726" s="12"/>
    </row>
    <row r="727" spans="3:3">
      <c r="C727" s="12"/>
    </row>
    <row r="728" spans="3:3">
      <c r="C728" s="12"/>
    </row>
    <row r="729" spans="3:3">
      <c r="C729" s="12"/>
    </row>
    <row r="730" spans="3:3">
      <c r="C730" s="12"/>
    </row>
    <row r="731" spans="3:3">
      <c r="C731" s="12"/>
    </row>
    <row r="732" spans="3:3">
      <c r="C732" s="12"/>
    </row>
    <row r="733" spans="3:3">
      <c r="C733" s="12"/>
    </row>
    <row r="734" spans="3:3">
      <c r="C734" s="12"/>
    </row>
    <row r="735" spans="3:3">
      <c r="C735" s="12"/>
    </row>
    <row r="736" spans="3:3">
      <c r="C736" s="12"/>
    </row>
    <row r="737" spans="3:3">
      <c r="C737" s="12"/>
    </row>
    <row r="738" spans="3:3">
      <c r="C738" s="12"/>
    </row>
    <row r="739" spans="3:3">
      <c r="C739" s="12"/>
    </row>
    <row r="740" spans="3:3">
      <c r="C740" s="12"/>
    </row>
    <row r="741" spans="3:3">
      <c r="C741" s="12"/>
    </row>
    <row r="742" spans="3:3">
      <c r="C742" s="12"/>
    </row>
    <row r="743" spans="3:3">
      <c r="C743" s="12"/>
    </row>
    <row r="744" spans="3:3">
      <c r="C744" s="12"/>
    </row>
    <row r="745" spans="3:3">
      <c r="C745" s="12"/>
    </row>
    <row r="746" spans="3:3">
      <c r="C746" s="12"/>
    </row>
    <row r="747" spans="3:3">
      <c r="C747" s="12"/>
    </row>
    <row r="748" spans="3:3">
      <c r="C748" s="12"/>
    </row>
    <row r="749" spans="3:3">
      <c r="C749" s="12"/>
    </row>
    <row r="750" spans="3:3">
      <c r="C750" s="12"/>
    </row>
    <row r="751" spans="3:3">
      <c r="C751" s="12"/>
    </row>
    <row r="752" spans="3:3">
      <c r="C752" s="12"/>
    </row>
    <row r="753" spans="3:3">
      <c r="C753" s="12"/>
    </row>
    <row r="754" spans="3:3">
      <c r="C754" s="12"/>
    </row>
    <row r="755" spans="3:3">
      <c r="C755" s="12"/>
    </row>
    <row r="756" spans="3:3">
      <c r="C756" s="12"/>
    </row>
    <row r="757" spans="3:3">
      <c r="C757" s="12"/>
    </row>
    <row r="758" spans="3:3">
      <c r="C758" s="12"/>
    </row>
    <row r="759" spans="3:3">
      <c r="C759" s="12"/>
    </row>
    <row r="760" spans="3:3">
      <c r="C760" s="12"/>
    </row>
    <row r="761" spans="3:3">
      <c r="C761" s="12"/>
    </row>
    <row r="762" spans="3:3">
      <c r="C762" s="12"/>
    </row>
    <row r="763" spans="3:3">
      <c r="C763" s="12"/>
    </row>
    <row r="764" spans="3:3">
      <c r="C764" s="12"/>
    </row>
    <row r="765" spans="3:3">
      <c r="C765" s="12"/>
    </row>
    <row r="766" spans="3:3">
      <c r="C766" s="12"/>
    </row>
    <row r="767" spans="3:3">
      <c r="C767" s="12"/>
    </row>
    <row r="768" spans="3:3">
      <c r="C768" s="12"/>
    </row>
    <row r="769" spans="3:3">
      <c r="C769" s="12"/>
    </row>
    <row r="770" spans="3:3">
      <c r="C770" s="12"/>
    </row>
    <row r="771" spans="3:3">
      <c r="C771" s="12"/>
    </row>
    <row r="772" spans="3:3">
      <c r="C772" s="12"/>
    </row>
    <row r="773" spans="3:3">
      <c r="C773" s="12"/>
    </row>
    <row r="774" spans="3:3">
      <c r="C774" s="12"/>
    </row>
    <row r="775" spans="3:3">
      <c r="C775" s="12"/>
    </row>
    <row r="776" spans="3:3">
      <c r="C776" s="12"/>
    </row>
    <row r="777" spans="3:3">
      <c r="C777" s="12"/>
    </row>
    <row r="778" spans="3:3">
      <c r="C778" s="12"/>
    </row>
    <row r="779" spans="3:3">
      <c r="C779" s="12"/>
    </row>
    <row r="780" spans="3:3">
      <c r="C780" s="12"/>
    </row>
    <row r="781" spans="3:3">
      <c r="C781" s="12"/>
    </row>
    <row r="782" spans="3:3">
      <c r="C782" s="12"/>
    </row>
    <row r="783" spans="3:3">
      <c r="C783" s="12"/>
    </row>
    <row r="784" spans="3:3">
      <c r="C784" s="12"/>
    </row>
    <row r="785" spans="3:3">
      <c r="C785" s="12"/>
    </row>
    <row r="786" spans="3:3">
      <c r="C786" s="12"/>
    </row>
    <row r="787" spans="3:3">
      <c r="C787" s="12"/>
    </row>
    <row r="788" spans="3:3">
      <c r="C788" s="12"/>
    </row>
    <row r="789" spans="3:3">
      <c r="C789" s="12"/>
    </row>
    <row r="790" spans="3:3">
      <c r="C790" s="12"/>
    </row>
    <row r="791" spans="3:3">
      <c r="C791" s="12"/>
    </row>
    <row r="792" spans="3:3">
      <c r="C792" s="12"/>
    </row>
    <row r="793" spans="3:3">
      <c r="C793" s="12"/>
    </row>
    <row r="794" spans="3:3">
      <c r="C794" s="12"/>
    </row>
    <row r="795" spans="3:3">
      <c r="C795" s="12"/>
    </row>
    <row r="796" spans="3:3">
      <c r="C796" s="12"/>
    </row>
    <row r="797" spans="3:3">
      <c r="C797" s="12"/>
    </row>
    <row r="798" spans="3:3">
      <c r="C798" s="12"/>
    </row>
    <row r="799" spans="3:3">
      <c r="C799" s="12"/>
    </row>
    <row r="800" spans="3:3">
      <c r="C800" s="12"/>
    </row>
    <row r="801" spans="3:3">
      <c r="C801" s="12"/>
    </row>
    <row r="802" spans="3:3">
      <c r="C802" s="12"/>
    </row>
    <row r="803" spans="3:3">
      <c r="C803" s="12"/>
    </row>
    <row r="804" spans="3:3">
      <c r="C804" s="12"/>
    </row>
    <row r="805" spans="3:3">
      <c r="C805" s="12"/>
    </row>
    <row r="806" spans="3:3">
      <c r="C806" s="12"/>
    </row>
    <row r="807" spans="3:3">
      <c r="C807" s="12"/>
    </row>
    <row r="808" spans="3:3">
      <c r="C808" s="12"/>
    </row>
    <row r="809" spans="3:3">
      <c r="C809" s="12"/>
    </row>
    <row r="810" spans="3:3">
      <c r="C810" s="12"/>
    </row>
    <row r="811" spans="3:3">
      <c r="C811" s="12"/>
    </row>
    <row r="812" spans="3:3">
      <c r="C812" s="12"/>
    </row>
    <row r="813" spans="3:3">
      <c r="C813" s="12"/>
    </row>
    <row r="814" spans="3:3">
      <c r="C814" s="12"/>
    </row>
    <row r="815" spans="3:3">
      <c r="C815" s="12"/>
    </row>
    <row r="816" spans="3:3">
      <c r="C816" s="12"/>
    </row>
    <row r="817" spans="3:3">
      <c r="C817" s="12"/>
    </row>
    <row r="818" spans="3:3">
      <c r="C818" s="12"/>
    </row>
    <row r="819" spans="3:3">
      <c r="C819" s="12"/>
    </row>
    <row r="820" spans="3:3">
      <c r="C820" s="12"/>
    </row>
    <row r="821" spans="3:3">
      <c r="C821" s="12"/>
    </row>
    <row r="822" spans="3:3">
      <c r="C822" s="12"/>
    </row>
    <row r="823" spans="3:3">
      <c r="C823" s="12"/>
    </row>
    <row r="824" spans="3:3">
      <c r="C824" s="12"/>
    </row>
    <row r="825" spans="3:3">
      <c r="C825" s="12"/>
    </row>
    <row r="826" spans="3:3">
      <c r="C826" s="12"/>
    </row>
    <row r="827" spans="3:3">
      <c r="C827" s="12"/>
    </row>
    <row r="828" spans="3:3">
      <c r="C828" s="12"/>
    </row>
    <row r="829" spans="3:3">
      <c r="C829" s="12"/>
    </row>
    <row r="830" spans="3:3">
      <c r="C830" s="12"/>
    </row>
    <row r="831" spans="3:3">
      <c r="C831" s="12"/>
    </row>
    <row r="832" spans="3:3">
      <c r="C832" s="12"/>
    </row>
    <row r="833" spans="3:3">
      <c r="C833" s="12"/>
    </row>
    <row r="834" spans="3:3">
      <c r="C834" s="12"/>
    </row>
    <row r="835" spans="3:3">
      <c r="C835" s="12"/>
    </row>
    <row r="836" spans="3:3">
      <c r="C836" s="12"/>
    </row>
    <row r="837" spans="3:3">
      <c r="C837" s="12"/>
    </row>
    <row r="838" spans="3:3">
      <c r="C838" s="12"/>
    </row>
    <row r="839" spans="3:3">
      <c r="C839" s="12"/>
    </row>
    <row r="840" spans="3:3">
      <c r="C840" s="12"/>
    </row>
    <row r="841" spans="3:3">
      <c r="C841" s="12"/>
    </row>
    <row r="842" spans="3:3">
      <c r="C842" s="12"/>
    </row>
    <row r="843" spans="3:3">
      <c r="C843" s="12"/>
    </row>
    <row r="844" spans="3:3">
      <c r="C844" s="12"/>
    </row>
    <row r="845" spans="3:3">
      <c r="C845" s="12"/>
    </row>
    <row r="846" spans="3:3">
      <c r="C846" s="12"/>
    </row>
    <row r="847" spans="3:3">
      <c r="C847" s="12"/>
    </row>
    <row r="848" spans="3:3">
      <c r="C848" s="12"/>
    </row>
    <row r="849" spans="3:3">
      <c r="C849" s="12"/>
    </row>
    <row r="850" spans="3:3">
      <c r="C850" s="12"/>
    </row>
    <row r="851" spans="3:3">
      <c r="C851" s="12"/>
    </row>
    <row r="852" spans="3:3">
      <c r="C852" s="12"/>
    </row>
    <row r="853" spans="3:3">
      <c r="C853" s="12"/>
    </row>
    <row r="854" spans="3:3">
      <c r="C854" s="12"/>
    </row>
    <row r="855" spans="3:3">
      <c r="C855" s="12"/>
    </row>
    <row r="856" spans="3:3">
      <c r="C856" s="12"/>
    </row>
    <row r="857" spans="3:3">
      <c r="C857" s="12"/>
    </row>
    <row r="858" spans="3:3">
      <c r="C858" s="12"/>
    </row>
    <row r="859" spans="3:3">
      <c r="C859" s="12"/>
    </row>
    <row r="860" spans="3:3">
      <c r="C860" s="12"/>
    </row>
    <row r="861" spans="3:3">
      <c r="C861" s="12"/>
    </row>
    <row r="862" spans="3:3">
      <c r="C862" s="12"/>
    </row>
    <row r="863" spans="3:3">
      <c r="C863" s="12"/>
    </row>
    <row r="864" spans="3:3">
      <c r="C864" s="12"/>
    </row>
    <row r="865" spans="3:3">
      <c r="C865" s="12"/>
    </row>
    <row r="866" spans="3:3">
      <c r="C866" s="12"/>
    </row>
    <row r="867" spans="3:3">
      <c r="C867" s="12"/>
    </row>
    <row r="868" spans="3:3">
      <c r="C868" s="12"/>
    </row>
    <row r="869" spans="3:3">
      <c r="C869" s="12"/>
    </row>
    <row r="870" spans="3:3">
      <c r="C870" s="12"/>
    </row>
    <row r="871" spans="3:3">
      <c r="C871" s="12"/>
    </row>
    <row r="872" spans="3:3">
      <c r="C872" s="12"/>
    </row>
    <row r="873" spans="3:3">
      <c r="C873" s="12"/>
    </row>
    <row r="874" spans="3:3">
      <c r="C874" s="12"/>
    </row>
    <row r="875" spans="3:3">
      <c r="C875" s="12"/>
    </row>
    <row r="876" spans="3:3">
      <c r="C876" s="12"/>
    </row>
    <row r="877" spans="3:3">
      <c r="C877" s="12"/>
    </row>
    <row r="878" spans="3:3">
      <c r="C878" s="12"/>
    </row>
    <row r="879" spans="3:3">
      <c r="C879" s="12"/>
    </row>
    <row r="880" spans="3:3">
      <c r="C880" s="12"/>
    </row>
    <row r="881" spans="3:3">
      <c r="C881" s="12"/>
    </row>
    <row r="882" spans="3:3">
      <c r="C882" s="12"/>
    </row>
    <row r="883" spans="3:3">
      <c r="C883" s="12"/>
    </row>
    <row r="884" spans="3:3">
      <c r="C884" s="12"/>
    </row>
    <row r="885" spans="3:3">
      <c r="C885" s="12"/>
    </row>
    <row r="886" spans="3:3">
      <c r="C886" s="12"/>
    </row>
    <row r="887" spans="3:3">
      <c r="C887" s="12"/>
    </row>
    <row r="888" spans="3:3">
      <c r="C888" s="12"/>
    </row>
    <row r="889" spans="3:3">
      <c r="C889" s="12"/>
    </row>
    <row r="890" spans="3:3">
      <c r="C890" s="12"/>
    </row>
    <row r="891" spans="3:3">
      <c r="C891" s="12"/>
    </row>
    <row r="892" spans="3:3">
      <c r="C892" s="12"/>
    </row>
    <row r="893" spans="3:3">
      <c r="C893" s="12"/>
    </row>
    <row r="894" spans="3:3">
      <c r="C894" s="12"/>
    </row>
    <row r="895" spans="3:3">
      <c r="C895" s="12"/>
    </row>
    <row r="896" spans="3:3">
      <c r="C896" s="12"/>
    </row>
    <row r="897" spans="3:3">
      <c r="C897" s="12"/>
    </row>
    <row r="898" spans="3:3">
      <c r="C898" s="12"/>
    </row>
    <row r="899" spans="3:3">
      <c r="C899" s="12"/>
    </row>
    <row r="900" spans="3:3">
      <c r="C900" s="12"/>
    </row>
    <row r="901" spans="3:3">
      <c r="C901" s="12"/>
    </row>
    <row r="902" spans="3:3">
      <c r="C902" s="12"/>
    </row>
    <row r="903" spans="3:3">
      <c r="C903" s="12"/>
    </row>
    <row r="904" spans="3:3">
      <c r="C904" s="12"/>
    </row>
    <row r="905" spans="3:3">
      <c r="C905" s="12"/>
    </row>
    <row r="906" spans="3:3">
      <c r="C906" s="12"/>
    </row>
    <row r="907" spans="3:3">
      <c r="C907" s="12"/>
    </row>
  </sheetData>
  <mergeCells count="2">
    <mergeCell ref="H8:J8"/>
    <mergeCell ref="J2:L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Blad3"/>
  <dimension ref="A1:J1123"/>
  <sheetViews>
    <sheetView workbookViewId="0">
      <selection activeCell="C8" sqref="C8"/>
    </sheetView>
  </sheetViews>
  <sheetFormatPr defaultRowHeight="15"/>
  <cols>
    <col min="3" max="3" width="26" customWidth="1"/>
    <col min="4" max="4" width="10.5703125" bestFit="1" customWidth="1"/>
    <col min="7" max="8" width="9.140625" style="6"/>
    <col min="9" max="9" width="9.140625" style="13"/>
    <col min="12" max="12" width="11.85546875" bestFit="1" customWidth="1"/>
    <col min="13" max="13" width="22.5703125" bestFit="1" customWidth="1"/>
  </cols>
  <sheetData>
    <row r="1" spans="1:10">
      <c r="G1"/>
      <c r="H1"/>
      <c r="I1"/>
    </row>
    <row r="2" spans="1:10" s="1" customFormat="1" ht="23.25">
      <c r="B2" s="1" t="s">
        <v>11</v>
      </c>
    </row>
    <row r="3" spans="1:10" s="1" customFormat="1" ht="23.25">
      <c r="B3" s="1" t="s">
        <v>12</v>
      </c>
    </row>
    <row r="4" spans="1:10" s="1" customFormat="1" ht="23.25">
      <c r="B4" s="1" t="s">
        <v>13</v>
      </c>
    </row>
    <row r="5" spans="1:10" s="1" customFormat="1" ht="23.25">
      <c r="B5" s="1" t="s">
        <v>9</v>
      </c>
    </row>
    <row r="6" spans="1:10">
      <c r="G6"/>
      <c r="H6"/>
      <c r="I6"/>
    </row>
    <row r="7" spans="1:10" ht="15.75" thickBot="1">
      <c r="C7" s="16"/>
      <c r="G7"/>
      <c r="H7"/>
      <c r="I7"/>
    </row>
    <row r="8" spans="1:10" ht="37.5" customHeight="1" thickTop="1" thickBot="1">
      <c r="B8" s="2" t="s">
        <v>8</v>
      </c>
      <c r="C8" s="15">
        <f>berekenA!A10</f>
        <v>13</v>
      </c>
      <c r="E8" s="3"/>
      <c r="F8" s="14"/>
      <c r="G8" s="2" t="s">
        <v>10</v>
      </c>
      <c r="H8" s="71">
        <f>SUM(B12:B1185)</f>
        <v>12</v>
      </c>
      <c r="I8" s="72"/>
      <c r="J8" s="73"/>
    </row>
    <row r="9" spans="1:10" s="58" customFormat="1" ht="16.5" thickTop="1" thickBot="1"/>
    <row r="10" spans="1:10" s="59" customFormat="1" ht="15.75" thickTop="1"/>
    <row r="11" spans="1:10">
      <c r="A11" t="s">
        <v>45</v>
      </c>
    </row>
    <row r="12" spans="1:10">
      <c r="A12">
        <f>euler_n</f>
        <v>13</v>
      </c>
      <c r="B12">
        <f>IFERROR(IF(GCD(euler_n,A12)=1,1,0),0)</f>
        <v>0</v>
      </c>
    </row>
    <row r="13" spans="1:10">
      <c r="A13">
        <f>A12-1</f>
        <v>12</v>
      </c>
      <c r="B13">
        <f>IFERROR(IF(GCD(euler_n,A13)=1,1,0),0)</f>
        <v>1</v>
      </c>
    </row>
    <row r="14" spans="1:10">
      <c r="A14">
        <f t="shared" ref="A14:A77" si="0">A13-1</f>
        <v>11</v>
      </c>
      <c r="B14">
        <f>IFERROR(IF(GCD(euler_n,A14)=1,1,0),0)</f>
        <v>1</v>
      </c>
    </row>
    <row r="15" spans="1:10">
      <c r="A15">
        <f t="shared" si="0"/>
        <v>10</v>
      </c>
      <c r="B15">
        <f>IFERROR(IF(GCD(euler_n,A15)=1,1,0),0)</f>
        <v>1</v>
      </c>
    </row>
    <row r="16" spans="1:10">
      <c r="A16">
        <f t="shared" si="0"/>
        <v>9</v>
      </c>
      <c r="B16">
        <f>IFERROR(IF(GCD(euler_n,A16)=1,1,0),0)</f>
        <v>1</v>
      </c>
    </row>
    <row r="17" spans="1:2">
      <c r="A17">
        <f t="shared" si="0"/>
        <v>8</v>
      </c>
      <c r="B17">
        <f>IFERROR(IF(GCD(euler_n,A17)=1,1,0),0)</f>
        <v>1</v>
      </c>
    </row>
    <row r="18" spans="1:2">
      <c r="A18">
        <f t="shared" si="0"/>
        <v>7</v>
      </c>
      <c r="B18">
        <f>IFERROR(IF(GCD(euler_n,A18)=1,1,0),0)</f>
        <v>1</v>
      </c>
    </row>
    <row r="19" spans="1:2">
      <c r="A19">
        <f t="shared" si="0"/>
        <v>6</v>
      </c>
      <c r="B19">
        <f>IFERROR(IF(GCD(euler_n,A19)=1,1,0),0)</f>
        <v>1</v>
      </c>
    </row>
    <row r="20" spans="1:2">
      <c r="A20">
        <f t="shared" si="0"/>
        <v>5</v>
      </c>
      <c r="B20">
        <f>IFERROR(IF(GCD(euler_n,A20)=1,1,0),0)</f>
        <v>1</v>
      </c>
    </row>
    <row r="21" spans="1:2">
      <c r="A21">
        <f t="shared" si="0"/>
        <v>4</v>
      </c>
      <c r="B21">
        <f>IFERROR(IF(GCD(euler_n,A21)=1,1,0),0)</f>
        <v>1</v>
      </c>
    </row>
    <row r="22" spans="1:2">
      <c r="A22">
        <f t="shared" si="0"/>
        <v>3</v>
      </c>
      <c r="B22">
        <f>IFERROR(IF(GCD(euler_n,A22)=1,1,0),0)</f>
        <v>1</v>
      </c>
    </row>
    <row r="23" spans="1:2">
      <c r="A23">
        <f t="shared" si="0"/>
        <v>2</v>
      </c>
      <c r="B23">
        <f>IFERROR(IF(GCD(euler_n,A23)=1,1,0),0)</f>
        <v>1</v>
      </c>
    </row>
    <row r="24" spans="1:2">
      <c r="A24">
        <f t="shared" si="0"/>
        <v>1</v>
      </c>
      <c r="B24">
        <f>IFERROR(IF(GCD(euler_n,A24)=1,1,0),0)</f>
        <v>1</v>
      </c>
    </row>
    <row r="25" spans="1:2">
      <c r="A25">
        <f t="shared" si="0"/>
        <v>0</v>
      </c>
      <c r="B25">
        <f>IFERROR(IF(GCD(euler_n,A25)=1,1,0),0)</f>
        <v>0</v>
      </c>
    </row>
    <row r="26" spans="1:2">
      <c r="A26">
        <f t="shared" si="0"/>
        <v>-1</v>
      </c>
      <c r="B26">
        <f>IFERROR(IF(GCD(euler_n,A26)=1,1,0),0)</f>
        <v>0</v>
      </c>
    </row>
    <row r="27" spans="1:2">
      <c r="A27">
        <f t="shared" si="0"/>
        <v>-2</v>
      </c>
      <c r="B27">
        <f>IFERROR(IF(GCD(euler_n,A27)=1,1,0),0)</f>
        <v>0</v>
      </c>
    </row>
    <row r="28" spans="1:2">
      <c r="A28">
        <f t="shared" si="0"/>
        <v>-3</v>
      </c>
      <c r="B28">
        <f>IFERROR(IF(GCD(euler_n,A28)=1,1,0),0)</f>
        <v>0</v>
      </c>
    </row>
    <row r="29" spans="1:2">
      <c r="A29">
        <f t="shared" si="0"/>
        <v>-4</v>
      </c>
      <c r="B29">
        <f>IFERROR(IF(GCD(euler_n,A29)=1,1,0),0)</f>
        <v>0</v>
      </c>
    </row>
    <row r="30" spans="1:2">
      <c r="A30">
        <f t="shared" si="0"/>
        <v>-5</v>
      </c>
      <c r="B30">
        <f>IFERROR(IF(GCD(euler_n,A30)=1,1,0),0)</f>
        <v>0</v>
      </c>
    </row>
    <row r="31" spans="1:2">
      <c r="A31">
        <f t="shared" si="0"/>
        <v>-6</v>
      </c>
      <c r="B31">
        <f>IFERROR(IF(GCD(euler_n,A31)=1,1,0),0)</f>
        <v>0</v>
      </c>
    </row>
    <row r="32" spans="1:2">
      <c r="A32">
        <f t="shared" si="0"/>
        <v>-7</v>
      </c>
      <c r="B32">
        <f>IFERROR(IF(GCD(euler_n,A32)=1,1,0),0)</f>
        <v>0</v>
      </c>
    </row>
    <row r="33" spans="1:8">
      <c r="A33">
        <f t="shared" si="0"/>
        <v>-8</v>
      </c>
      <c r="B33">
        <f>IFERROR(IF(GCD(euler_n,A33)=1,1,0),0)</f>
        <v>0</v>
      </c>
    </row>
    <row r="34" spans="1:8">
      <c r="A34">
        <f t="shared" si="0"/>
        <v>-9</v>
      </c>
      <c r="B34">
        <f>IFERROR(IF(GCD(euler_n,A34)=1,1,0),0)</f>
        <v>0</v>
      </c>
    </row>
    <row r="35" spans="1:8">
      <c r="A35">
        <f t="shared" si="0"/>
        <v>-10</v>
      </c>
      <c r="B35">
        <f>IFERROR(IF(GCD(euler_n,A35)=1,1,0),0)</f>
        <v>0</v>
      </c>
    </row>
    <row r="36" spans="1:8">
      <c r="A36">
        <f t="shared" si="0"/>
        <v>-11</v>
      </c>
      <c r="B36">
        <f>IFERROR(IF(GCD(euler_n,A36)=1,1,0),0)</f>
        <v>0</v>
      </c>
    </row>
    <row r="37" spans="1:8">
      <c r="A37">
        <f t="shared" si="0"/>
        <v>-12</v>
      </c>
      <c r="B37">
        <f>IFERROR(IF(GCD(euler_n,A37)=1,1,0),0)</f>
        <v>0</v>
      </c>
    </row>
    <row r="38" spans="1:8">
      <c r="A38">
        <f t="shared" si="0"/>
        <v>-13</v>
      </c>
      <c r="B38">
        <f>IFERROR(IF(GCD(euler_n,A38)=1,1,0),0)</f>
        <v>0</v>
      </c>
    </row>
    <row r="39" spans="1:8">
      <c r="A39">
        <f t="shared" si="0"/>
        <v>-14</v>
      </c>
      <c r="B39">
        <f>IFERROR(IF(GCD(euler_n,A39)=1,1,0),0)</f>
        <v>0</v>
      </c>
    </row>
    <row r="40" spans="1:8">
      <c r="A40">
        <f t="shared" si="0"/>
        <v>-15</v>
      </c>
      <c r="B40">
        <f>IFERROR(IF(GCD(euler_n,A40)=1,1,0),0)</f>
        <v>0</v>
      </c>
    </row>
    <row r="41" spans="1:8">
      <c r="A41">
        <f t="shared" si="0"/>
        <v>-16</v>
      </c>
      <c r="B41">
        <f>IFERROR(IF(GCD(euler_n,A41)=1,1,0),0)</f>
        <v>0</v>
      </c>
    </row>
    <row r="42" spans="1:8">
      <c r="A42">
        <f t="shared" si="0"/>
        <v>-17</v>
      </c>
      <c r="B42">
        <f>IFERROR(IF(GCD(euler_n,A42)=1,1,0),0)</f>
        <v>0</v>
      </c>
    </row>
    <row r="43" spans="1:8">
      <c r="A43">
        <f t="shared" si="0"/>
        <v>-18</v>
      </c>
      <c r="B43">
        <f>IFERROR(IF(GCD(euler_n,A43)=1,1,0),0)</f>
        <v>0</v>
      </c>
    </row>
    <row r="44" spans="1:8">
      <c r="A44">
        <f t="shared" si="0"/>
        <v>-19</v>
      </c>
      <c r="B44">
        <f>IFERROR(IF(GCD(euler_n,A44)=1,1,0),0)</f>
        <v>0</v>
      </c>
    </row>
    <row r="45" spans="1:8">
      <c r="A45">
        <f t="shared" si="0"/>
        <v>-20</v>
      </c>
      <c r="B45">
        <f>IFERROR(IF(GCD(euler_n,A45)=1,1,0),0)</f>
        <v>0</v>
      </c>
    </row>
    <row r="46" spans="1:8">
      <c r="A46">
        <f t="shared" si="0"/>
        <v>-21</v>
      </c>
      <c r="B46">
        <f>IFERROR(IF(GCD(euler_n,A46)=1,1,0),0)</f>
        <v>0</v>
      </c>
      <c r="G46" s="7"/>
      <c r="H46" s="7"/>
    </row>
    <row r="47" spans="1:8">
      <c r="A47">
        <f t="shared" si="0"/>
        <v>-22</v>
      </c>
      <c r="B47">
        <f>IFERROR(IF(GCD(euler_n,A47)=1,1,0),0)</f>
        <v>0</v>
      </c>
      <c r="G47" s="7"/>
      <c r="H47" s="7"/>
    </row>
    <row r="48" spans="1:8">
      <c r="A48">
        <f t="shared" si="0"/>
        <v>-23</v>
      </c>
      <c r="B48">
        <f>IFERROR(IF(GCD(euler_n,A48)=1,1,0),0)</f>
        <v>0</v>
      </c>
      <c r="G48" s="7"/>
      <c r="H48" s="7"/>
    </row>
    <row r="49" spans="1:8">
      <c r="A49">
        <f t="shared" si="0"/>
        <v>-24</v>
      </c>
      <c r="B49">
        <f>IFERROR(IF(GCD(euler_n,A49)=1,1,0),0)</f>
        <v>0</v>
      </c>
      <c r="G49" s="7"/>
      <c r="H49" s="7"/>
    </row>
    <row r="50" spans="1:8">
      <c r="A50">
        <f t="shared" si="0"/>
        <v>-25</v>
      </c>
      <c r="B50">
        <f>IFERROR(IF(GCD(euler_n,A50)=1,1,0),0)</f>
        <v>0</v>
      </c>
      <c r="G50" s="7"/>
      <c r="H50" s="7"/>
    </row>
    <row r="51" spans="1:8">
      <c r="A51">
        <f t="shared" si="0"/>
        <v>-26</v>
      </c>
      <c r="B51">
        <f>IFERROR(IF(GCD(euler_n,A51)=1,1,0),0)</f>
        <v>0</v>
      </c>
      <c r="G51" s="7"/>
      <c r="H51" s="7"/>
    </row>
    <row r="52" spans="1:8">
      <c r="A52">
        <f t="shared" si="0"/>
        <v>-27</v>
      </c>
      <c r="B52">
        <f>IFERROR(IF(GCD(euler_n,A52)=1,1,0),0)</f>
        <v>0</v>
      </c>
      <c r="G52" s="7"/>
      <c r="H52" s="7"/>
    </row>
    <row r="53" spans="1:8">
      <c r="A53">
        <f t="shared" si="0"/>
        <v>-28</v>
      </c>
      <c r="B53">
        <f>IFERROR(IF(GCD(euler_n,A53)=1,1,0),0)</f>
        <v>0</v>
      </c>
      <c r="G53" s="7"/>
      <c r="H53" s="7"/>
    </row>
    <row r="54" spans="1:8">
      <c r="A54">
        <f t="shared" si="0"/>
        <v>-29</v>
      </c>
      <c r="B54">
        <f>IFERROR(IF(GCD(euler_n,A54)=1,1,0),0)</f>
        <v>0</v>
      </c>
      <c r="G54" s="7"/>
      <c r="H54" s="7"/>
    </row>
    <row r="55" spans="1:8">
      <c r="A55">
        <f t="shared" si="0"/>
        <v>-30</v>
      </c>
      <c r="B55">
        <f>IFERROR(IF(GCD(euler_n,A55)=1,1,0),0)</f>
        <v>0</v>
      </c>
      <c r="G55" s="7"/>
      <c r="H55" s="7"/>
    </row>
    <row r="56" spans="1:8">
      <c r="A56">
        <f t="shared" si="0"/>
        <v>-31</v>
      </c>
      <c r="B56">
        <f>IFERROR(IF(GCD(euler_n,A56)=1,1,0),0)</f>
        <v>0</v>
      </c>
      <c r="G56" s="7"/>
      <c r="H56" s="7"/>
    </row>
    <row r="57" spans="1:8">
      <c r="A57">
        <f t="shared" si="0"/>
        <v>-32</v>
      </c>
      <c r="B57">
        <f>IFERROR(IF(GCD(euler_n,A57)=1,1,0),0)</f>
        <v>0</v>
      </c>
      <c r="G57" s="7"/>
      <c r="H57" s="7"/>
    </row>
    <row r="58" spans="1:8">
      <c r="A58">
        <f t="shared" si="0"/>
        <v>-33</v>
      </c>
      <c r="B58">
        <f>IFERROR(IF(GCD(euler_n,A58)=1,1,0),0)</f>
        <v>0</v>
      </c>
      <c r="G58" s="7"/>
      <c r="H58" s="7"/>
    </row>
    <row r="59" spans="1:8">
      <c r="A59">
        <f t="shared" si="0"/>
        <v>-34</v>
      </c>
      <c r="B59">
        <f>IFERROR(IF(GCD(euler_n,A59)=1,1,0),0)</f>
        <v>0</v>
      </c>
      <c r="G59" s="7"/>
      <c r="H59" s="7"/>
    </row>
    <row r="60" spans="1:8">
      <c r="A60">
        <f t="shared" si="0"/>
        <v>-35</v>
      </c>
      <c r="B60">
        <f>IFERROR(IF(GCD(euler_n,A60)=1,1,0),0)</f>
        <v>0</v>
      </c>
      <c r="G60" s="7"/>
      <c r="H60" s="7"/>
    </row>
    <row r="61" spans="1:8">
      <c r="A61">
        <f t="shared" si="0"/>
        <v>-36</v>
      </c>
      <c r="B61">
        <f>IFERROR(IF(GCD(euler_n,A61)=1,1,0),0)</f>
        <v>0</v>
      </c>
      <c r="G61" s="7"/>
      <c r="H61" s="7"/>
    </row>
    <row r="62" spans="1:8">
      <c r="A62">
        <f t="shared" si="0"/>
        <v>-37</v>
      </c>
      <c r="B62">
        <f>IFERROR(IF(GCD(euler_n,A62)=1,1,0),0)</f>
        <v>0</v>
      </c>
      <c r="G62" s="7"/>
      <c r="H62" s="7"/>
    </row>
    <row r="63" spans="1:8">
      <c r="A63">
        <f t="shared" si="0"/>
        <v>-38</v>
      </c>
      <c r="B63">
        <f>IFERROR(IF(GCD(euler_n,A63)=1,1,0),0)</f>
        <v>0</v>
      </c>
      <c r="G63" s="7"/>
      <c r="H63" s="7"/>
    </row>
    <row r="64" spans="1:8">
      <c r="A64">
        <f t="shared" si="0"/>
        <v>-39</v>
      </c>
      <c r="B64">
        <f>IFERROR(IF(GCD(euler_n,A64)=1,1,0),0)</f>
        <v>0</v>
      </c>
      <c r="G64" s="7"/>
      <c r="H64" s="7"/>
    </row>
    <row r="65" spans="1:8">
      <c r="A65">
        <f t="shared" si="0"/>
        <v>-40</v>
      </c>
      <c r="B65">
        <f>IFERROR(IF(GCD(euler_n,A65)=1,1,0),0)</f>
        <v>0</v>
      </c>
      <c r="G65" s="7"/>
      <c r="H65" s="7"/>
    </row>
    <row r="66" spans="1:8">
      <c r="A66">
        <f t="shared" si="0"/>
        <v>-41</v>
      </c>
      <c r="B66">
        <f>IFERROR(IF(GCD(euler_n,A66)=1,1,0),0)</f>
        <v>0</v>
      </c>
      <c r="G66" s="7"/>
      <c r="H66" s="7"/>
    </row>
    <row r="67" spans="1:8">
      <c r="A67">
        <f t="shared" si="0"/>
        <v>-42</v>
      </c>
      <c r="B67">
        <f>IFERROR(IF(GCD(euler_n,A67)=1,1,0),0)</f>
        <v>0</v>
      </c>
      <c r="G67" s="7"/>
      <c r="H67" s="7"/>
    </row>
    <row r="68" spans="1:8">
      <c r="A68">
        <f t="shared" si="0"/>
        <v>-43</v>
      </c>
      <c r="B68">
        <f>IFERROR(IF(GCD(euler_n,A68)=1,1,0),0)</f>
        <v>0</v>
      </c>
      <c r="G68" s="7"/>
      <c r="H68" s="7"/>
    </row>
    <row r="69" spans="1:8">
      <c r="A69">
        <f t="shared" si="0"/>
        <v>-44</v>
      </c>
      <c r="B69">
        <f>IFERROR(IF(GCD(euler_n,A69)=1,1,0),0)</f>
        <v>0</v>
      </c>
      <c r="G69" s="7"/>
      <c r="H69" s="7"/>
    </row>
    <row r="70" spans="1:8">
      <c r="A70">
        <f t="shared" si="0"/>
        <v>-45</v>
      </c>
      <c r="B70">
        <f>IFERROR(IF(GCD(euler_n,A70)=1,1,0),0)</f>
        <v>0</v>
      </c>
      <c r="G70" s="7"/>
      <c r="H70" s="7"/>
    </row>
    <row r="71" spans="1:8">
      <c r="A71">
        <f t="shared" si="0"/>
        <v>-46</v>
      </c>
      <c r="B71">
        <f>IFERROR(IF(GCD(euler_n,A71)=1,1,0),0)</f>
        <v>0</v>
      </c>
      <c r="G71" s="7"/>
      <c r="H71" s="7"/>
    </row>
    <row r="72" spans="1:8">
      <c r="A72">
        <f t="shared" si="0"/>
        <v>-47</v>
      </c>
      <c r="B72">
        <f>IFERROR(IF(GCD(euler_n,A72)=1,1,0),0)</f>
        <v>0</v>
      </c>
      <c r="G72" s="7"/>
      <c r="H72" s="7"/>
    </row>
    <row r="73" spans="1:8">
      <c r="A73">
        <f t="shared" si="0"/>
        <v>-48</v>
      </c>
      <c r="B73">
        <f>IFERROR(IF(GCD(euler_n,A73)=1,1,0),0)</f>
        <v>0</v>
      </c>
      <c r="G73" s="7"/>
      <c r="H73" s="7"/>
    </row>
    <row r="74" spans="1:8">
      <c r="A74">
        <f t="shared" si="0"/>
        <v>-49</v>
      </c>
      <c r="B74">
        <f>IFERROR(IF(GCD(euler_n,A74)=1,1,0),0)</f>
        <v>0</v>
      </c>
      <c r="G74" s="7"/>
      <c r="H74" s="7"/>
    </row>
    <row r="75" spans="1:8">
      <c r="A75">
        <f t="shared" si="0"/>
        <v>-50</v>
      </c>
      <c r="B75">
        <f>IFERROR(IF(GCD(euler_n,A75)=1,1,0),0)</f>
        <v>0</v>
      </c>
      <c r="G75" s="7"/>
      <c r="H75" s="7"/>
    </row>
    <row r="76" spans="1:8">
      <c r="A76">
        <f t="shared" si="0"/>
        <v>-51</v>
      </c>
      <c r="B76">
        <f>IFERROR(IF(GCD(euler_n,A76)=1,1,0),0)</f>
        <v>0</v>
      </c>
      <c r="G76" s="7"/>
      <c r="H76" s="7"/>
    </row>
    <row r="77" spans="1:8">
      <c r="A77">
        <f t="shared" si="0"/>
        <v>-52</v>
      </c>
      <c r="B77">
        <f>IFERROR(IF(GCD(euler_n,A77)=1,1,0),0)</f>
        <v>0</v>
      </c>
      <c r="G77" s="7"/>
      <c r="H77" s="7"/>
    </row>
    <row r="78" spans="1:8">
      <c r="A78">
        <f t="shared" ref="A78:A141" si="1">A77-1</f>
        <v>-53</v>
      </c>
      <c r="B78">
        <f>IFERROR(IF(GCD(euler_n,A78)=1,1,0),0)</f>
        <v>0</v>
      </c>
      <c r="G78" s="7"/>
      <c r="H78" s="7"/>
    </row>
    <row r="79" spans="1:8">
      <c r="A79">
        <f t="shared" si="1"/>
        <v>-54</v>
      </c>
      <c r="B79">
        <f>IFERROR(IF(GCD(euler_n,A79)=1,1,0),0)</f>
        <v>0</v>
      </c>
      <c r="G79" s="7"/>
      <c r="H79" s="7"/>
    </row>
    <row r="80" spans="1:8">
      <c r="A80">
        <f t="shared" si="1"/>
        <v>-55</v>
      </c>
      <c r="B80">
        <f>IFERROR(IF(GCD(euler_n,A80)=1,1,0),0)</f>
        <v>0</v>
      </c>
      <c r="G80" s="7"/>
      <c r="H80" s="7"/>
    </row>
    <row r="81" spans="1:8">
      <c r="A81">
        <f t="shared" si="1"/>
        <v>-56</v>
      </c>
      <c r="B81">
        <f>IFERROR(IF(GCD(euler_n,A81)=1,1,0),0)</f>
        <v>0</v>
      </c>
      <c r="G81" s="7"/>
      <c r="H81" s="7"/>
    </row>
    <row r="82" spans="1:8">
      <c r="A82">
        <f t="shared" si="1"/>
        <v>-57</v>
      </c>
      <c r="B82">
        <f>IFERROR(IF(GCD(euler_n,A82)=1,1,0),0)</f>
        <v>0</v>
      </c>
      <c r="G82" s="7"/>
      <c r="H82" s="7"/>
    </row>
    <row r="83" spans="1:8">
      <c r="A83">
        <f t="shared" si="1"/>
        <v>-58</v>
      </c>
      <c r="B83">
        <f>IFERROR(IF(GCD(euler_n,A83)=1,1,0),0)</f>
        <v>0</v>
      </c>
      <c r="G83" s="7"/>
      <c r="H83" s="7"/>
    </row>
    <row r="84" spans="1:8">
      <c r="A84">
        <f t="shared" si="1"/>
        <v>-59</v>
      </c>
      <c r="B84">
        <f>IFERROR(IF(GCD(euler_n,A84)=1,1,0),0)</f>
        <v>0</v>
      </c>
      <c r="G84" s="7"/>
      <c r="H84" s="7"/>
    </row>
    <row r="85" spans="1:8">
      <c r="A85">
        <f t="shared" si="1"/>
        <v>-60</v>
      </c>
      <c r="B85">
        <f>IFERROR(IF(GCD(euler_n,A85)=1,1,0),0)</f>
        <v>0</v>
      </c>
      <c r="G85" s="7"/>
      <c r="H85" s="7"/>
    </row>
    <row r="86" spans="1:8">
      <c r="A86">
        <f t="shared" si="1"/>
        <v>-61</v>
      </c>
      <c r="B86">
        <f>IFERROR(IF(GCD(euler_n,A86)=1,1,0),0)</f>
        <v>0</v>
      </c>
      <c r="G86" s="7"/>
      <c r="H86" s="7"/>
    </row>
    <row r="87" spans="1:8">
      <c r="A87">
        <f t="shared" si="1"/>
        <v>-62</v>
      </c>
      <c r="B87">
        <f>IFERROR(IF(GCD(euler_n,A87)=1,1,0),0)</f>
        <v>0</v>
      </c>
      <c r="G87" s="7"/>
      <c r="H87" s="7"/>
    </row>
    <row r="88" spans="1:8">
      <c r="A88">
        <f t="shared" si="1"/>
        <v>-63</v>
      </c>
      <c r="B88">
        <f>IFERROR(IF(GCD(euler_n,A88)=1,1,0),0)</f>
        <v>0</v>
      </c>
      <c r="G88" s="7"/>
      <c r="H88" s="7"/>
    </row>
    <row r="89" spans="1:8">
      <c r="A89">
        <f t="shared" si="1"/>
        <v>-64</v>
      </c>
      <c r="B89">
        <f>IFERROR(IF(GCD(euler_n,A89)=1,1,0),0)</f>
        <v>0</v>
      </c>
      <c r="G89" s="7"/>
      <c r="H89" s="7"/>
    </row>
    <row r="90" spans="1:8">
      <c r="A90">
        <f t="shared" si="1"/>
        <v>-65</v>
      </c>
      <c r="B90">
        <f>IFERROR(IF(GCD(euler_n,A90)=1,1,0),0)</f>
        <v>0</v>
      </c>
      <c r="G90" s="7"/>
      <c r="H90" s="7"/>
    </row>
    <row r="91" spans="1:8">
      <c r="A91">
        <f t="shared" si="1"/>
        <v>-66</v>
      </c>
      <c r="B91">
        <f>IFERROR(IF(GCD(euler_n,A91)=1,1,0),0)</f>
        <v>0</v>
      </c>
      <c r="G91" s="7"/>
      <c r="H91" s="7"/>
    </row>
    <row r="92" spans="1:8">
      <c r="A92">
        <f t="shared" si="1"/>
        <v>-67</v>
      </c>
      <c r="B92">
        <f>IFERROR(IF(GCD(euler_n,A92)=1,1,0),0)</f>
        <v>0</v>
      </c>
      <c r="G92" s="7"/>
      <c r="H92" s="7"/>
    </row>
    <row r="93" spans="1:8">
      <c r="A93">
        <f t="shared" si="1"/>
        <v>-68</v>
      </c>
      <c r="B93">
        <f>IFERROR(IF(GCD(euler_n,A93)=1,1,0),0)</f>
        <v>0</v>
      </c>
      <c r="G93" s="7"/>
      <c r="H93" s="7"/>
    </row>
    <row r="94" spans="1:8">
      <c r="A94">
        <f t="shared" si="1"/>
        <v>-69</v>
      </c>
      <c r="B94">
        <f>IFERROR(IF(GCD(euler_n,A94)=1,1,0),0)</f>
        <v>0</v>
      </c>
      <c r="G94" s="7"/>
      <c r="H94" s="7"/>
    </row>
    <row r="95" spans="1:8">
      <c r="A95">
        <f t="shared" si="1"/>
        <v>-70</v>
      </c>
      <c r="B95">
        <f>IFERROR(IF(GCD(euler_n,A95)=1,1,0),0)</f>
        <v>0</v>
      </c>
      <c r="G95" s="7"/>
      <c r="H95" s="7"/>
    </row>
    <row r="96" spans="1:8">
      <c r="A96">
        <f t="shared" si="1"/>
        <v>-71</v>
      </c>
      <c r="B96">
        <f>IFERROR(IF(GCD(euler_n,A96)=1,1,0),0)</f>
        <v>0</v>
      </c>
      <c r="G96" s="7"/>
      <c r="H96" s="7"/>
    </row>
    <row r="97" spans="1:8">
      <c r="A97">
        <f t="shared" si="1"/>
        <v>-72</v>
      </c>
      <c r="B97">
        <f>IFERROR(IF(GCD(euler_n,A97)=1,1,0),0)</f>
        <v>0</v>
      </c>
      <c r="G97" s="7"/>
      <c r="H97" s="7"/>
    </row>
    <row r="98" spans="1:8">
      <c r="A98">
        <f t="shared" si="1"/>
        <v>-73</v>
      </c>
      <c r="B98">
        <f>IFERROR(IF(GCD(euler_n,A98)=1,1,0),0)</f>
        <v>0</v>
      </c>
      <c r="G98" s="7"/>
      <c r="H98" s="7"/>
    </row>
    <row r="99" spans="1:8">
      <c r="A99">
        <f t="shared" si="1"/>
        <v>-74</v>
      </c>
      <c r="B99">
        <f>IFERROR(IF(GCD(euler_n,A99)=1,1,0),0)</f>
        <v>0</v>
      </c>
      <c r="G99" s="7"/>
      <c r="H99" s="7"/>
    </row>
    <row r="100" spans="1:8">
      <c r="A100">
        <f t="shared" si="1"/>
        <v>-75</v>
      </c>
      <c r="B100">
        <f>IFERROR(IF(GCD(euler_n,A100)=1,1,0),0)</f>
        <v>0</v>
      </c>
      <c r="G100" s="7"/>
      <c r="H100" s="7"/>
    </row>
    <row r="101" spans="1:8">
      <c r="A101">
        <f t="shared" si="1"/>
        <v>-76</v>
      </c>
      <c r="B101">
        <f>IFERROR(IF(GCD(euler_n,A101)=1,1,0),0)</f>
        <v>0</v>
      </c>
      <c r="G101" s="7"/>
      <c r="H101" s="7"/>
    </row>
    <row r="102" spans="1:8">
      <c r="A102">
        <f t="shared" si="1"/>
        <v>-77</v>
      </c>
      <c r="B102">
        <f>IFERROR(IF(GCD(euler_n,A102)=1,1,0),0)</f>
        <v>0</v>
      </c>
      <c r="G102" s="7"/>
      <c r="H102" s="7"/>
    </row>
    <row r="103" spans="1:8">
      <c r="A103">
        <f t="shared" si="1"/>
        <v>-78</v>
      </c>
      <c r="B103">
        <f>IFERROR(IF(GCD(euler_n,A103)=1,1,0),0)</f>
        <v>0</v>
      </c>
      <c r="G103" s="7"/>
      <c r="H103" s="7"/>
    </row>
    <row r="104" spans="1:8">
      <c r="A104">
        <f t="shared" si="1"/>
        <v>-79</v>
      </c>
      <c r="B104">
        <f>IFERROR(IF(GCD(euler_n,A104)=1,1,0),0)</f>
        <v>0</v>
      </c>
      <c r="G104" s="7"/>
      <c r="H104" s="7"/>
    </row>
    <row r="105" spans="1:8">
      <c r="A105">
        <f t="shared" si="1"/>
        <v>-80</v>
      </c>
      <c r="B105">
        <f>IFERROR(IF(GCD(euler_n,A105)=1,1,0),0)</f>
        <v>0</v>
      </c>
      <c r="G105" s="7"/>
      <c r="H105" s="7"/>
    </row>
    <row r="106" spans="1:8">
      <c r="A106">
        <f t="shared" si="1"/>
        <v>-81</v>
      </c>
      <c r="B106">
        <f>IFERROR(IF(GCD(euler_n,A106)=1,1,0),0)</f>
        <v>0</v>
      </c>
      <c r="G106" s="7"/>
      <c r="H106" s="7"/>
    </row>
    <row r="107" spans="1:8">
      <c r="A107">
        <f t="shared" si="1"/>
        <v>-82</v>
      </c>
      <c r="B107">
        <f>IFERROR(IF(GCD(euler_n,A107)=1,1,0),0)</f>
        <v>0</v>
      </c>
      <c r="G107" s="7"/>
      <c r="H107" s="7"/>
    </row>
    <row r="108" spans="1:8">
      <c r="A108">
        <f t="shared" si="1"/>
        <v>-83</v>
      </c>
      <c r="B108">
        <f>IFERROR(IF(GCD(euler_n,A108)=1,1,0),0)</f>
        <v>0</v>
      </c>
      <c r="G108" s="7"/>
      <c r="H108" s="7"/>
    </row>
    <row r="109" spans="1:8">
      <c r="A109">
        <f t="shared" si="1"/>
        <v>-84</v>
      </c>
      <c r="B109">
        <f>IFERROR(IF(GCD(euler_n,A109)=1,1,0),0)</f>
        <v>0</v>
      </c>
      <c r="G109" s="7"/>
      <c r="H109" s="7"/>
    </row>
    <row r="110" spans="1:8">
      <c r="A110">
        <f t="shared" si="1"/>
        <v>-85</v>
      </c>
      <c r="B110">
        <f>IFERROR(IF(GCD(euler_n,A110)=1,1,0),0)</f>
        <v>0</v>
      </c>
      <c r="G110" s="7"/>
      <c r="H110" s="7"/>
    </row>
    <row r="111" spans="1:8">
      <c r="A111">
        <f t="shared" si="1"/>
        <v>-86</v>
      </c>
      <c r="B111">
        <f>IFERROR(IF(GCD(euler_n,A111)=1,1,0),0)</f>
        <v>0</v>
      </c>
      <c r="G111" s="7"/>
      <c r="H111" s="7"/>
    </row>
    <row r="112" spans="1:8">
      <c r="A112">
        <f t="shared" si="1"/>
        <v>-87</v>
      </c>
      <c r="B112">
        <f>IFERROR(IF(GCD(euler_n,A112)=1,1,0),0)</f>
        <v>0</v>
      </c>
      <c r="G112" s="7"/>
      <c r="H112" s="7"/>
    </row>
    <row r="113" spans="1:8">
      <c r="A113">
        <f t="shared" si="1"/>
        <v>-88</v>
      </c>
      <c r="B113">
        <f>IFERROR(IF(GCD(euler_n,A113)=1,1,0),0)</f>
        <v>0</v>
      </c>
      <c r="G113" s="7"/>
      <c r="H113" s="7"/>
    </row>
    <row r="114" spans="1:8">
      <c r="A114">
        <f t="shared" si="1"/>
        <v>-89</v>
      </c>
      <c r="B114">
        <f>IFERROR(IF(GCD(euler_n,A114)=1,1,0),0)</f>
        <v>0</v>
      </c>
      <c r="G114" s="7"/>
      <c r="H114" s="7"/>
    </row>
    <row r="115" spans="1:8">
      <c r="A115">
        <f t="shared" si="1"/>
        <v>-90</v>
      </c>
      <c r="B115">
        <f>IFERROR(IF(GCD(euler_n,A115)=1,1,0),0)</f>
        <v>0</v>
      </c>
      <c r="G115" s="7"/>
      <c r="H115" s="7"/>
    </row>
    <row r="116" spans="1:8">
      <c r="A116">
        <f t="shared" si="1"/>
        <v>-91</v>
      </c>
      <c r="B116">
        <f>IFERROR(IF(GCD(euler_n,A116)=1,1,0),0)</f>
        <v>0</v>
      </c>
      <c r="G116" s="7"/>
      <c r="H116" s="7"/>
    </row>
    <row r="117" spans="1:8">
      <c r="A117">
        <f t="shared" si="1"/>
        <v>-92</v>
      </c>
      <c r="B117">
        <f>IFERROR(IF(GCD(euler_n,A117)=1,1,0),0)</f>
        <v>0</v>
      </c>
      <c r="G117" s="7"/>
      <c r="H117" s="7"/>
    </row>
    <row r="118" spans="1:8">
      <c r="A118">
        <f t="shared" si="1"/>
        <v>-93</v>
      </c>
      <c r="B118">
        <f>IFERROR(IF(GCD(euler_n,A118)=1,1,0),0)</f>
        <v>0</v>
      </c>
      <c r="G118" s="7"/>
      <c r="H118" s="7"/>
    </row>
    <row r="119" spans="1:8">
      <c r="A119">
        <f t="shared" si="1"/>
        <v>-94</v>
      </c>
      <c r="B119">
        <f>IFERROR(IF(GCD(euler_n,A119)=1,1,0),0)</f>
        <v>0</v>
      </c>
      <c r="G119" s="7"/>
      <c r="H119" s="7"/>
    </row>
    <row r="120" spans="1:8">
      <c r="A120">
        <f t="shared" si="1"/>
        <v>-95</v>
      </c>
      <c r="B120">
        <f>IFERROR(IF(GCD(euler_n,A120)=1,1,0),0)</f>
        <v>0</v>
      </c>
      <c r="G120" s="7"/>
      <c r="H120" s="7"/>
    </row>
    <row r="121" spans="1:8">
      <c r="A121">
        <f t="shared" si="1"/>
        <v>-96</v>
      </c>
      <c r="B121">
        <f>IFERROR(IF(GCD(euler_n,A121)=1,1,0),0)</f>
        <v>0</v>
      </c>
      <c r="G121" s="7"/>
      <c r="H121" s="7"/>
    </row>
    <row r="122" spans="1:8">
      <c r="A122">
        <f t="shared" si="1"/>
        <v>-97</v>
      </c>
      <c r="B122">
        <f>IFERROR(IF(GCD(euler_n,A122)=1,1,0),0)</f>
        <v>0</v>
      </c>
      <c r="G122" s="7"/>
      <c r="H122" s="7"/>
    </row>
    <row r="123" spans="1:8">
      <c r="A123">
        <f t="shared" si="1"/>
        <v>-98</v>
      </c>
      <c r="B123">
        <f>IFERROR(IF(GCD(euler_n,A123)=1,1,0),0)</f>
        <v>0</v>
      </c>
      <c r="G123" s="7"/>
      <c r="H123" s="7"/>
    </row>
    <row r="124" spans="1:8">
      <c r="A124">
        <f t="shared" si="1"/>
        <v>-99</v>
      </c>
      <c r="B124">
        <f>IFERROR(IF(GCD(euler_n,A124)=1,1,0),0)</f>
        <v>0</v>
      </c>
      <c r="G124" s="7"/>
      <c r="H124" s="7"/>
    </row>
    <row r="125" spans="1:8">
      <c r="A125">
        <f t="shared" si="1"/>
        <v>-100</v>
      </c>
      <c r="B125">
        <f>IFERROR(IF(GCD(euler_n,A125)=1,1,0),0)</f>
        <v>0</v>
      </c>
      <c r="G125" s="7"/>
      <c r="H125" s="7"/>
    </row>
    <row r="126" spans="1:8">
      <c r="A126">
        <f t="shared" si="1"/>
        <v>-101</v>
      </c>
      <c r="B126">
        <f>IFERROR(IF(GCD(euler_n,A126)=1,1,0),0)</f>
        <v>0</v>
      </c>
      <c r="G126" s="7"/>
      <c r="H126" s="7"/>
    </row>
    <row r="127" spans="1:8">
      <c r="A127">
        <f t="shared" si="1"/>
        <v>-102</v>
      </c>
      <c r="B127">
        <f>IFERROR(IF(GCD(euler_n,A127)=1,1,0),0)</f>
        <v>0</v>
      </c>
      <c r="G127" s="7"/>
      <c r="H127" s="7"/>
    </row>
    <row r="128" spans="1:8">
      <c r="A128">
        <f t="shared" si="1"/>
        <v>-103</v>
      </c>
      <c r="B128">
        <f>IFERROR(IF(GCD(euler_n,A128)=1,1,0),0)</f>
        <v>0</v>
      </c>
      <c r="C128" s="12"/>
      <c r="G128" s="7"/>
      <c r="H128" s="7"/>
    </row>
    <row r="129" spans="1:8">
      <c r="A129">
        <f t="shared" si="1"/>
        <v>-104</v>
      </c>
      <c r="B129">
        <f>IFERROR(IF(GCD(euler_n,A129)=1,1,0),0)</f>
        <v>0</v>
      </c>
      <c r="C129" s="12"/>
      <c r="G129" s="7"/>
      <c r="H129" s="7"/>
    </row>
    <row r="130" spans="1:8">
      <c r="A130">
        <f t="shared" si="1"/>
        <v>-105</v>
      </c>
      <c r="B130">
        <f>IFERROR(IF(GCD(euler_n,A130)=1,1,0),0)</f>
        <v>0</v>
      </c>
      <c r="C130" s="12"/>
      <c r="G130" s="7"/>
      <c r="H130" s="7"/>
    </row>
    <row r="131" spans="1:8">
      <c r="A131">
        <f t="shared" si="1"/>
        <v>-106</v>
      </c>
      <c r="B131">
        <f>IFERROR(IF(GCD(euler_n,A131)=1,1,0),0)</f>
        <v>0</v>
      </c>
      <c r="C131" s="12"/>
      <c r="G131" s="7"/>
      <c r="H131" s="7"/>
    </row>
    <row r="132" spans="1:8">
      <c r="A132">
        <f t="shared" si="1"/>
        <v>-107</v>
      </c>
      <c r="B132">
        <f>IFERROR(IF(GCD(euler_n,A132)=1,1,0),0)</f>
        <v>0</v>
      </c>
      <c r="C132" s="12"/>
      <c r="G132" s="7"/>
      <c r="H132" s="7"/>
    </row>
    <row r="133" spans="1:8">
      <c r="A133">
        <f t="shared" si="1"/>
        <v>-108</v>
      </c>
      <c r="B133">
        <f>IFERROR(IF(GCD(euler_n,A133)=1,1,0),0)</f>
        <v>0</v>
      </c>
      <c r="C133" s="12"/>
      <c r="G133" s="7"/>
      <c r="H133" s="7"/>
    </row>
    <row r="134" spans="1:8">
      <c r="A134">
        <f t="shared" si="1"/>
        <v>-109</v>
      </c>
      <c r="B134">
        <f>IFERROR(IF(GCD(euler_n,A134)=1,1,0),0)</f>
        <v>0</v>
      </c>
      <c r="C134" s="12"/>
      <c r="G134" s="7"/>
      <c r="H134" s="7"/>
    </row>
    <row r="135" spans="1:8">
      <c r="A135">
        <f t="shared" si="1"/>
        <v>-110</v>
      </c>
      <c r="B135">
        <f>IFERROR(IF(GCD(euler_n,A135)=1,1,0),0)</f>
        <v>0</v>
      </c>
      <c r="C135" s="12"/>
      <c r="G135" s="7"/>
      <c r="H135" s="7"/>
    </row>
    <row r="136" spans="1:8">
      <c r="A136">
        <f t="shared" si="1"/>
        <v>-111</v>
      </c>
      <c r="B136">
        <f>IFERROR(IF(GCD(euler_n,A136)=1,1,0),0)</f>
        <v>0</v>
      </c>
      <c r="C136" s="12"/>
      <c r="G136" s="7"/>
      <c r="H136" s="7"/>
    </row>
    <row r="137" spans="1:8">
      <c r="A137">
        <f t="shared" si="1"/>
        <v>-112</v>
      </c>
      <c r="B137">
        <f>IFERROR(IF(GCD(euler_n,A137)=1,1,0),0)</f>
        <v>0</v>
      </c>
      <c r="C137" s="12"/>
      <c r="G137" s="7"/>
      <c r="H137" s="7"/>
    </row>
    <row r="138" spans="1:8">
      <c r="A138">
        <f t="shared" si="1"/>
        <v>-113</v>
      </c>
      <c r="B138">
        <f>IFERROR(IF(GCD(euler_n,A138)=1,1,0),0)</f>
        <v>0</v>
      </c>
      <c r="C138" s="12"/>
      <c r="G138" s="7"/>
      <c r="H138" s="7"/>
    </row>
    <row r="139" spans="1:8">
      <c r="A139">
        <f t="shared" si="1"/>
        <v>-114</v>
      </c>
      <c r="B139">
        <f>IFERROR(IF(GCD(euler_n,A139)=1,1,0),0)</f>
        <v>0</v>
      </c>
      <c r="C139" s="12"/>
      <c r="G139" s="7"/>
      <c r="H139" s="7"/>
    </row>
    <row r="140" spans="1:8">
      <c r="A140">
        <f t="shared" si="1"/>
        <v>-115</v>
      </c>
      <c r="B140">
        <f>IFERROR(IF(GCD(euler_n,A140)=1,1,0),0)</f>
        <v>0</v>
      </c>
      <c r="C140" s="12"/>
      <c r="G140" s="7"/>
      <c r="H140" s="7"/>
    </row>
    <row r="141" spans="1:8">
      <c r="A141">
        <f t="shared" si="1"/>
        <v>-116</v>
      </c>
      <c r="B141">
        <f>IFERROR(IF(GCD(euler_n,A141)=1,1,0),0)</f>
        <v>0</v>
      </c>
      <c r="C141" s="12"/>
      <c r="G141" s="7"/>
      <c r="H141" s="7"/>
    </row>
    <row r="142" spans="1:8">
      <c r="A142">
        <f t="shared" ref="A142:A205" si="2">A141-1</f>
        <v>-117</v>
      </c>
      <c r="B142">
        <f>IFERROR(IF(GCD(euler_n,A142)=1,1,0),0)</f>
        <v>0</v>
      </c>
      <c r="C142" s="12"/>
      <c r="G142" s="7"/>
      <c r="H142" s="7"/>
    </row>
    <row r="143" spans="1:8">
      <c r="A143">
        <f t="shared" si="2"/>
        <v>-118</v>
      </c>
      <c r="B143">
        <f>IFERROR(IF(GCD(euler_n,A143)=1,1,0),0)</f>
        <v>0</v>
      </c>
      <c r="C143" s="12"/>
      <c r="G143" s="7"/>
      <c r="H143" s="7"/>
    </row>
    <row r="144" spans="1:8">
      <c r="A144">
        <f t="shared" si="2"/>
        <v>-119</v>
      </c>
      <c r="B144">
        <f>IFERROR(IF(GCD(euler_n,A144)=1,1,0),0)</f>
        <v>0</v>
      </c>
      <c r="C144" s="12"/>
      <c r="G144" s="7"/>
      <c r="H144" s="7"/>
    </row>
    <row r="145" spans="1:8">
      <c r="A145">
        <f t="shared" si="2"/>
        <v>-120</v>
      </c>
      <c r="B145">
        <f>IFERROR(IF(GCD(euler_n,A145)=1,1,0),0)</f>
        <v>0</v>
      </c>
      <c r="C145" s="12"/>
      <c r="G145" s="7"/>
      <c r="H145" s="7"/>
    </row>
    <row r="146" spans="1:8">
      <c r="A146">
        <f t="shared" si="2"/>
        <v>-121</v>
      </c>
      <c r="B146">
        <f>IFERROR(IF(GCD(euler_n,A146)=1,1,0),0)</f>
        <v>0</v>
      </c>
      <c r="C146" s="12"/>
      <c r="G146" s="7"/>
      <c r="H146" s="7"/>
    </row>
    <row r="147" spans="1:8">
      <c r="A147">
        <f t="shared" si="2"/>
        <v>-122</v>
      </c>
      <c r="B147">
        <f>IFERROR(IF(GCD(euler_n,A147)=1,1,0),0)</f>
        <v>0</v>
      </c>
      <c r="C147" s="12"/>
      <c r="G147" s="7"/>
      <c r="H147" s="7"/>
    </row>
    <row r="148" spans="1:8">
      <c r="A148">
        <f t="shared" si="2"/>
        <v>-123</v>
      </c>
      <c r="B148">
        <f>IFERROR(IF(GCD(euler_n,A148)=1,1,0),0)</f>
        <v>0</v>
      </c>
      <c r="C148" s="12"/>
      <c r="G148" s="7"/>
      <c r="H148" s="7"/>
    </row>
    <row r="149" spans="1:8">
      <c r="A149">
        <f t="shared" si="2"/>
        <v>-124</v>
      </c>
      <c r="B149">
        <f>IFERROR(IF(GCD(euler_n,A149)=1,1,0),0)</f>
        <v>0</v>
      </c>
      <c r="C149" s="12"/>
      <c r="G149" s="7"/>
      <c r="H149" s="7"/>
    </row>
    <row r="150" spans="1:8">
      <c r="A150">
        <f t="shared" si="2"/>
        <v>-125</v>
      </c>
      <c r="B150">
        <f>IFERROR(IF(GCD(euler_n,A150)=1,1,0),0)</f>
        <v>0</v>
      </c>
      <c r="C150" s="12"/>
      <c r="G150" s="7"/>
      <c r="H150" s="7"/>
    </row>
    <row r="151" spans="1:8">
      <c r="A151">
        <f t="shared" si="2"/>
        <v>-126</v>
      </c>
      <c r="B151">
        <f>IFERROR(IF(GCD(euler_n,A151)=1,1,0),0)</f>
        <v>0</v>
      </c>
      <c r="C151" s="12"/>
      <c r="G151" s="7"/>
      <c r="H151" s="7"/>
    </row>
    <row r="152" spans="1:8">
      <c r="A152">
        <f t="shared" si="2"/>
        <v>-127</v>
      </c>
      <c r="B152">
        <f>IFERROR(IF(GCD(euler_n,A152)=1,1,0),0)</f>
        <v>0</v>
      </c>
      <c r="C152" s="12"/>
      <c r="G152" s="7"/>
      <c r="H152" s="7"/>
    </row>
    <row r="153" spans="1:8">
      <c r="A153">
        <f t="shared" si="2"/>
        <v>-128</v>
      </c>
      <c r="B153">
        <f>IFERROR(IF(GCD(euler_n,A153)=1,1,0),0)</f>
        <v>0</v>
      </c>
      <c r="C153" s="12"/>
      <c r="G153" s="7"/>
      <c r="H153" s="7"/>
    </row>
    <row r="154" spans="1:8">
      <c r="A154">
        <f t="shared" si="2"/>
        <v>-129</v>
      </c>
      <c r="B154">
        <f>IFERROR(IF(GCD(euler_n,A154)=1,1,0),0)</f>
        <v>0</v>
      </c>
      <c r="C154" s="12"/>
      <c r="G154" s="7"/>
      <c r="H154" s="7"/>
    </row>
    <row r="155" spans="1:8">
      <c r="A155">
        <f t="shared" si="2"/>
        <v>-130</v>
      </c>
      <c r="B155">
        <f>IFERROR(IF(GCD(euler_n,A155)=1,1,0),0)</f>
        <v>0</v>
      </c>
      <c r="C155" s="12"/>
      <c r="G155" s="7"/>
      <c r="H155" s="7"/>
    </row>
    <row r="156" spans="1:8">
      <c r="A156">
        <f t="shared" si="2"/>
        <v>-131</v>
      </c>
      <c r="B156">
        <f>IFERROR(IF(GCD(euler_n,A156)=1,1,0),0)</f>
        <v>0</v>
      </c>
      <c r="C156" s="12"/>
      <c r="G156" s="7"/>
      <c r="H156" s="7"/>
    </row>
    <row r="157" spans="1:8">
      <c r="A157">
        <f t="shared" si="2"/>
        <v>-132</v>
      </c>
      <c r="B157">
        <f>IFERROR(IF(GCD(euler_n,A157)=1,1,0),0)</f>
        <v>0</v>
      </c>
      <c r="C157" s="12"/>
      <c r="G157" s="7"/>
      <c r="H157" s="7"/>
    </row>
    <row r="158" spans="1:8">
      <c r="A158">
        <f t="shared" si="2"/>
        <v>-133</v>
      </c>
      <c r="B158">
        <f>IFERROR(IF(GCD(euler_n,A158)=1,1,0),0)</f>
        <v>0</v>
      </c>
      <c r="C158" s="12"/>
      <c r="G158" s="7"/>
      <c r="H158" s="7"/>
    </row>
    <row r="159" spans="1:8">
      <c r="A159">
        <f t="shared" si="2"/>
        <v>-134</v>
      </c>
      <c r="B159">
        <f>IFERROR(IF(GCD(euler_n,A159)=1,1,0),0)</f>
        <v>0</v>
      </c>
      <c r="C159" s="12"/>
      <c r="G159" s="7"/>
      <c r="H159" s="7"/>
    </row>
    <row r="160" spans="1:8">
      <c r="A160">
        <f t="shared" si="2"/>
        <v>-135</v>
      </c>
      <c r="B160">
        <f>IFERROR(IF(GCD(euler_n,A160)=1,1,0),0)</f>
        <v>0</v>
      </c>
      <c r="C160" s="12"/>
      <c r="G160" s="7"/>
      <c r="H160" s="7"/>
    </row>
    <row r="161" spans="1:8">
      <c r="A161">
        <f t="shared" si="2"/>
        <v>-136</v>
      </c>
      <c r="B161">
        <f>IFERROR(IF(GCD(euler_n,A161)=1,1,0),0)</f>
        <v>0</v>
      </c>
      <c r="C161" s="12"/>
      <c r="G161" s="7"/>
      <c r="H161" s="7"/>
    </row>
    <row r="162" spans="1:8">
      <c r="A162">
        <f t="shared" si="2"/>
        <v>-137</v>
      </c>
      <c r="B162">
        <f>IFERROR(IF(GCD(euler_n,A162)=1,1,0),0)</f>
        <v>0</v>
      </c>
      <c r="C162" s="12"/>
      <c r="G162" s="7"/>
      <c r="H162" s="7"/>
    </row>
    <row r="163" spans="1:8">
      <c r="A163">
        <f t="shared" si="2"/>
        <v>-138</v>
      </c>
      <c r="B163">
        <f>IFERROR(IF(GCD(euler_n,A163)=1,1,0),0)</f>
        <v>0</v>
      </c>
      <c r="C163" s="12"/>
      <c r="G163" s="7"/>
      <c r="H163" s="7"/>
    </row>
    <row r="164" spans="1:8">
      <c r="A164">
        <f t="shared" si="2"/>
        <v>-139</v>
      </c>
      <c r="B164">
        <f>IFERROR(IF(GCD(euler_n,A164)=1,1,0),0)</f>
        <v>0</v>
      </c>
      <c r="C164" s="12"/>
      <c r="G164" s="7"/>
      <c r="H164" s="7"/>
    </row>
    <row r="165" spans="1:8">
      <c r="A165">
        <f t="shared" si="2"/>
        <v>-140</v>
      </c>
      <c r="B165">
        <f>IFERROR(IF(GCD(euler_n,A165)=1,1,0),0)</f>
        <v>0</v>
      </c>
      <c r="C165" s="12"/>
      <c r="G165" s="7"/>
      <c r="H165" s="7"/>
    </row>
    <row r="166" spans="1:8">
      <c r="A166">
        <f t="shared" si="2"/>
        <v>-141</v>
      </c>
      <c r="B166">
        <f>IFERROR(IF(GCD(euler_n,A166)=1,1,0),0)</f>
        <v>0</v>
      </c>
      <c r="C166" s="12"/>
      <c r="G166" s="7"/>
      <c r="H166" s="7"/>
    </row>
    <row r="167" spans="1:8">
      <c r="A167">
        <f t="shared" si="2"/>
        <v>-142</v>
      </c>
      <c r="B167">
        <f>IFERROR(IF(GCD(euler_n,A167)=1,1,0),0)</f>
        <v>0</v>
      </c>
      <c r="C167" s="12"/>
      <c r="G167" s="7"/>
      <c r="H167" s="7"/>
    </row>
    <row r="168" spans="1:8">
      <c r="A168">
        <f t="shared" si="2"/>
        <v>-143</v>
      </c>
      <c r="B168">
        <f>IFERROR(IF(GCD(euler_n,A168)=1,1,0),0)</f>
        <v>0</v>
      </c>
      <c r="C168" s="12"/>
      <c r="G168" s="7"/>
      <c r="H168" s="7"/>
    </row>
    <row r="169" spans="1:8">
      <c r="A169">
        <f t="shared" si="2"/>
        <v>-144</v>
      </c>
      <c r="B169">
        <f>IFERROR(IF(GCD(euler_n,A169)=1,1,0),0)</f>
        <v>0</v>
      </c>
      <c r="C169" s="12"/>
      <c r="G169" s="7"/>
      <c r="H169" s="7"/>
    </row>
    <row r="170" spans="1:8">
      <c r="A170">
        <f t="shared" si="2"/>
        <v>-145</v>
      </c>
      <c r="B170">
        <f>IFERROR(IF(GCD(euler_n,A170)=1,1,0),0)</f>
        <v>0</v>
      </c>
      <c r="C170" s="12"/>
      <c r="G170" s="7"/>
      <c r="H170" s="7"/>
    </row>
    <row r="171" spans="1:8">
      <c r="A171">
        <f t="shared" si="2"/>
        <v>-146</v>
      </c>
      <c r="B171">
        <f>IFERROR(IF(GCD(euler_n,A171)=1,1,0),0)</f>
        <v>0</v>
      </c>
      <c r="C171" s="12"/>
      <c r="G171" s="7"/>
      <c r="H171" s="7"/>
    </row>
    <row r="172" spans="1:8">
      <c r="A172">
        <f t="shared" si="2"/>
        <v>-147</v>
      </c>
      <c r="B172">
        <f>IFERROR(IF(GCD(euler_n,A172)=1,1,0),0)</f>
        <v>0</v>
      </c>
      <c r="C172" s="12"/>
      <c r="G172" s="7"/>
      <c r="H172" s="7"/>
    </row>
    <row r="173" spans="1:8">
      <c r="A173">
        <f t="shared" si="2"/>
        <v>-148</v>
      </c>
      <c r="B173">
        <f>IFERROR(IF(GCD(euler_n,A173)=1,1,0),0)</f>
        <v>0</v>
      </c>
      <c r="C173" s="12"/>
      <c r="G173" s="7"/>
      <c r="H173" s="7"/>
    </row>
    <row r="174" spans="1:8">
      <c r="A174">
        <f t="shared" si="2"/>
        <v>-149</v>
      </c>
      <c r="B174">
        <f>IFERROR(IF(GCD(euler_n,A174)=1,1,0),0)</f>
        <v>0</v>
      </c>
      <c r="C174" s="12"/>
      <c r="G174" s="7"/>
      <c r="H174" s="7"/>
    </row>
    <row r="175" spans="1:8">
      <c r="A175">
        <f t="shared" si="2"/>
        <v>-150</v>
      </c>
      <c r="B175">
        <f>IFERROR(IF(GCD(euler_n,A175)=1,1,0),0)</f>
        <v>0</v>
      </c>
      <c r="C175" s="12"/>
      <c r="G175" s="7"/>
      <c r="H175" s="7"/>
    </row>
    <row r="176" spans="1:8">
      <c r="A176">
        <f t="shared" si="2"/>
        <v>-151</v>
      </c>
      <c r="B176">
        <f>IFERROR(IF(GCD(euler_n,A176)=1,1,0),0)</f>
        <v>0</v>
      </c>
      <c r="C176" s="12"/>
      <c r="G176" s="7"/>
      <c r="H176" s="7"/>
    </row>
    <row r="177" spans="1:8">
      <c r="A177">
        <f t="shared" si="2"/>
        <v>-152</v>
      </c>
      <c r="B177">
        <f>IFERROR(IF(GCD(euler_n,A177)=1,1,0),0)</f>
        <v>0</v>
      </c>
      <c r="C177" s="12"/>
      <c r="G177" s="7"/>
      <c r="H177" s="7"/>
    </row>
    <row r="178" spans="1:8">
      <c r="A178">
        <f t="shared" si="2"/>
        <v>-153</v>
      </c>
      <c r="B178">
        <f>IFERROR(IF(GCD(euler_n,A178)=1,1,0),0)</f>
        <v>0</v>
      </c>
      <c r="C178" s="12"/>
      <c r="G178" s="7"/>
      <c r="H178" s="7"/>
    </row>
    <row r="179" spans="1:8">
      <c r="A179">
        <f t="shared" si="2"/>
        <v>-154</v>
      </c>
      <c r="B179">
        <f>IFERROR(IF(GCD(euler_n,A179)=1,1,0),0)</f>
        <v>0</v>
      </c>
      <c r="C179" s="12"/>
      <c r="G179" s="7"/>
      <c r="H179" s="7"/>
    </row>
    <row r="180" spans="1:8">
      <c r="A180">
        <f t="shared" si="2"/>
        <v>-155</v>
      </c>
      <c r="B180">
        <f>IFERROR(IF(GCD(euler_n,A180)=1,1,0),0)</f>
        <v>0</v>
      </c>
      <c r="C180" s="12"/>
      <c r="G180" s="7"/>
      <c r="H180" s="7"/>
    </row>
    <row r="181" spans="1:8">
      <c r="A181">
        <f t="shared" si="2"/>
        <v>-156</v>
      </c>
      <c r="B181">
        <f>IFERROR(IF(GCD(euler_n,A181)=1,1,0),0)</f>
        <v>0</v>
      </c>
      <c r="C181" s="12"/>
      <c r="G181" s="7"/>
      <c r="H181" s="7"/>
    </row>
    <row r="182" spans="1:8">
      <c r="A182">
        <f t="shared" si="2"/>
        <v>-157</v>
      </c>
      <c r="B182">
        <f>IFERROR(IF(GCD(euler_n,A182)=1,1,0),0)</f>
        <v>0</v>
      </c>
      <c r="C182" s="12"/>
      <c r="G182" s="7"/>
      <c r="H182" s="7"/>
    </row>
    <row r="183" spans="1:8">
      <c r="A183">
        <f t="shared" si="2"/>
        <v>-158</v>
      </c>
      <c r="B183">
        <f>IFERROR(IF(GCD(euler_n,A183)=1,1,0),0)</f>
        <v>0</v>
      </c>
      <c r="C183" s="12"/>
      <c r="G183" s="7"/>
      <c r="H183" s="7"/>
    </row>
    <row r="184" spans="1:8">
      <c r="A184">
        <f t="shared" si="2"/>
        <v>-159</v>
      </c>
      <c r="B184">
        <f>IFERROR(IF(GCD(euler_n,A184)=1,1,0),0)</f>
        <v>0</v>
      </c>
      <c r="C184" s="12"/>
      <c r="G184" s="7"/>
      <c r="H184" s="7"/>
    </row>
    <row r="185" spans="1:8">
      <c r="A185">
        <f t="shared" si="2"/>
        <v>-160</v>
      </c>
      <c r="B185">
        <f>IFERROR(IF(GCD(euler_n,A185)=1,1,0),0)</f>
        <v>0</v>
      </c>
      <c r="C185" s="12"/>
      <c r="G185" s="7"/>
      <c r="H185" s="7"/>
    </row>
    <row r="186" spans="1:8">
      <c r="A186">
        <f t="shared" si="2"/>
        <v>-161</v>
      </c>
      <c r="B186">
        <f>IFERROR(IF(GCD(euler_n,A186)=1,1,0),0)</f>
        <v>0</v>
      </c>
      <c r="C186" s="12"/>
      <c r="G186" s="7"/>
      <c r="H186" s="7"/>
    </row>
    <row r="187" spans="1:8">
      <c r="A187">
        <f t="shared" si="2"/>
        <v>-162</v>
      </c>
      <c r="B187">
        <f>IFERROR(IF(GCD(euler_n,A187)=1,1,0),0)</f>
        <v>0</v>
      </c>
      <c r="C187" s="12"/>
      <c r="G187" s="7"/>
      <c r="H187" s="7"/>
    </row>
    <row r="188" spans="1:8">
      <c r="A188">
        <f t="shared" si="2"/>
        <v>-163</v>
      </c>
      <c r="B188">
        <f>IFERROR(IF(GCD(euler_n,A188)=1,1,0),0)</f>
        <v>0</v>
      </c>
      <c r="C188" s="12"/>
      <c r="G188" s="7"/>
      <c r="H188" s="7"/>
    </row>
    <row r="189" spans="1:8">
      <c r="A189">
        <f t="shared" si="2"/>
        <v>-164</v>
      </c>
      <c r="B189">
        <f>IFERROR(IF(GCD(euler_n,A189)=1,1,0),0)</f>
        <v>0</v>
      </c>
      <c r="C189" s="12"/>
      <c r="G189" s="7"/>
      <c r="H189" s="7"/>
    </row>
    <row r="190" spans="1:8">
      <c r="A190">
        <f t="shared" si="2"/>
        <v>-165</v>
      </c>
      <c r="B190">
        <f>IFERROR(IF(GCD(euler_n,A190)=1,1,0),0)</f>
        <v>0</v>
      </c>
      <c r="C190" s="12"/>
      <c r="G190" s="7"/>
      <c r="H190" s="7"/>
    </row>
    <row r="191" spans="1:8">
      <c r="A191">
        <f t="shared" si="2"/>
        <v>-166</v>
      </c>
      <c r="B191">
        <f>IFERROR(IF(GCD(euler_n,A191)=1,1,0),0)</f>
        <v>0</v>
      </c>
      <c r="C191" s="12"/>
      <c r="G191" s="7"/>
      <c r="H191" s="7"/>
    </row>
    <row r="192" spans="1:8">
      <c r="A192">
        <f t="shared" si="2"/>
        <v>-167</v>
      </c>
      <c r="B192">
        <f>IFERROR(IF(GCD(euler_n,A192)=1,1,0),0)</f>
        <v>0</v>
      </c>
      <c r="C192" s="12"/>
      <c r="G192" s="7"/>
      <c r="H192" s="7"/>
    </row>
    <row r="193" spans="1:8">
      <c r="A193">
        <f t="shared" si="2"/>
        <v>-168</v>
      </c>
      <c r="B193">
        <f>IFERROR(IF(GCD(euler_n,A193)=1,1,0),0)</f>
        <v>0</v>
      </c>
      <c r="C193" s="12"/>
      <c r="G193" s="7"/>
      <c r="H193" s="7"/>
    </row>
    <row r="194" spans="1:8">
      <c r="A194">
        <f t="shared" si="2"/>
        <v>-169</v>
      </c>
      <c r="B194">
        <f>IFERROR(IF(GCD(euler_n,A194)=1,1,0),0)</f>
        <v>0</v>
      </c>
      <c r="C194" s="12"/>
      <c r="G194" s="7"/>
      <c r="H194" s="7"/>
    </row>
    <row r="195" spans="1:8">
      <c r="A195">
        <f t="shared" si="2"/>
        <v>-170</v>
      </c>
      <c r="B195">
        <f>IFERROR(IF(GCD(euler_n,A195)=1,1,0),0)</f>
        <v>0</v>
      </c>
      <c r="C195" s="12"/>
      <c r="G195" s="7"/>
      <c r="H195" s="7"/>
    </row>
    <row r="196" spans="1:8">
      <c r="A196">
        <f t="shared" si="2"/>
        <v>-171</v>
      </c>
      <c r="B196">
        <f>IFERROR(IF(GCD(euler_n,A196)=1,1,0),0)</f>
        <v>0</v>
      </c>
      <c r="C196" s="12"/>
      <c r="G196" s="7"/>
      <c r="H196" s="7"/>
    </row>
    <row r="197" spans="1:8">
      <c r="A197">
        <f t="shared" si="2"/>
        <v>-172</v>
      </c>
      <c r="B197">
        <f>IFERROR(IF(GCD(euler_n,A197)=1,1,0),0)</f>
        <v>0</v>
      </c>
      <c r="C197" s="12"/>
      <c r="G197" s="7"/>
      <c r="H197" s="7"/>
    </row>
    <row r="198" spans="1:8">
      <c r="A198">
        <f t="shared" si="2"/>
        <v>-173</v>
      </c>
      <c r="B198">
        <f>IFERROR(IF(GCD(euler_n,A198)=1,1,0),0)</f>
        <v>0</v>
      </c>
      <c r="C198" s="12"/>
      <c r="G198" s="7"/>
      <c r="H198" s="7"/>
    </row>
    <row r="199" spans="1:8">
      <c r="A199">
        <f t="shared" si="2"/>
        <v>-174</v>
      </c>
      <c r="B199">
        <f>IFERROR(IF(GCD(euler_n,A199)=1,1,0),0)</f>
        <v>0</v>
      </c>
      <c r="C199" s="12"/>
      <c r="G199" s="7"/>
      <c r="H199" s="7"/>
    </row>
    <row r="200" spans="1:8">
      <c r="A200">
        <f t="shared" si="2"/>
        <v>-175</v>
      </c>
      <c r="B200">
        <f>IFERROR(IF(GCD(euler_n,A200)=1,1,0),0)</f>
        <v>0</v>
      </c>
      <c r="C200" s="12"/>
      <c r="G200" s="7"/>
      <c r="H200" s="7"/>
    </row>
    <row r="201" spans="1:8">
      <c r="A201">
        <f t="shared" si="2"/>
        <v>-176</v>
      </c>
      <c r="B201">
        <f>IFERROR(IF(GCD(euler_n,A201)=1,1,0),0)</f>
        <v>0</v>
      </c>
      <c r="C201" s="12"/>
      <c r="G201" s="7"/>
      <c r="H201" s="7"/>
    </row>
    <row r="202" spans="1:8">
      <c r="A202">
        <f t="shared" si="2"/>
        <v>-177</v>
      </c>
      <c r="B202">
        <f>IFERROR(IF(GCD(euler_n,A202)=1,1,0),0)</f>
        <v>0</v>
      </c>
      <c r="C202" s="12"/>
      <c r="G202" s="7"/>
      <c r="H202" s="7"/>
    </row>
    <row r="203" spans="1:8">
      <c r="A203">
        <f t="shared" si="2"/>
        <v>-178</v>
      </c>
      <c r="B203">
        <f>IFERROR(IF(GCD(euler_n,A203)=1,1,0),0)</f>
        <v>0</v>
      </c>
      <c r="C203" s="12"/>
      <c r="G203" s="7"/>
      <c r="H203" s="7"/>
    </row>
    <row r="204" spans="1:8">
      <c r="A204">
        <f t="shared" si="2"/>
        <v>-179</v>
      </c>
      <c r="B204">
        <f>IFERROR(IF(GCD(euler_n,A204)=1,1,0),0)</f>
        <v>0</v>
      </c>
      <c r="C204" s="12"/>
      <c r="G204" s="7"/>
      <c r="H204" s="7"/>
    </row>
    <row r="205" spans="1:8">
      <c r="A205">
        <f t="shared" si="2"/>
        <v>-180</v>
      </c>
      <c r="B205">
        <f>IFERROR(IF(GCD(euler_n,A205)=1,1,0),0)</f>
        <v>0</v>
      </c>
      <c r="C205" s="12"/>
      <c r="G205" s="7"/>
      <c r="H205" s="7"/>
    </row>
    <row r="206" spans="1:8">
      <c r="A206">
        <f t="shared" ref="A206:A269" si="3">A205-1</f>
        <v>-181</v>
      </c>
      <c r="B206">
        <f>IFERROR(IF(GCD(euler_n,A206)=1,1,0),0)</f>
        <v>0</v>
      </c>
      <c r="C206" s="12"/>
      <c r="G206" s="7"/>
      <c r="H206" s="7"/>
    </row>
    <row r="207" spans="1:8">
      <c r="A207">
        <f t="shared" si="3"/>
        <v>-182</v>
      </c>
      <c r="B207">
        <f>IFERROR(IF(GCD(euler_n,A207)=1,1,0),0)</f>
        <v>0</v>
      </c>
      <c r="C207" s="12"/>
      <c r="G207" s="7"/>
      <c r="H207" s="7"/>
    </row>
    <row r="208" spans="1:8">
      <c r="A208">
        <f t="shared" si="3"/>
        <v>-183</v>
      </c>
      <c r="B208">
        <f>IFERROR(IF(GCD(euler_n,A208)=1,1,0),0)</f>
        <v>0</v>
      </c>
      <c r="C208" s="12"/>
      <c r="G208" s="7"/>
      <c r="H208" s="7"/>
    </row>
    <row r="209" spans="1:8">
      <c r="A209">
        <f t="shared" si="3"/>
        <v>-184</v>
      </c>
      <c r="B209">
        <f>IFERROR(IF(GCD(euler_n,A209)=1,1,0),0)</f>
        <v>0</v>
      </c>
      <c r="C209" s="12"/>
      <c r="G209" s="7"/>
      <c r="H209" s="7"/>
    </row>
    <row r="210" spans="1:8">
      <c r="A210">
        <f t="shared" si="3"/>
        <v>-185</v>
      </c>
      <c r="B210">
        <f>IFERROR(IF(GCD(euler_n,A210)=1,1,0),0)</f>
        <v>0</v>
      </c>
      <c r="C210" s="12"/>
      <c r="G210" s="7"/>
      <c r="H210" s="7"/>
    </row>
    <row r="211" spans="1:8">
      <c r="A211">
        <f t="shared" si="3"/>
        <v>-186</v>
      </c>
      <c r="B211">
        <f>IFERROR(IF(GCD(euler_n,A211)=1,1,0),0)</f>
        <v>0</v>
      </c>
      <c r="C211" s="12"/>
      <c r="G211" s="7"/>
      <c r="H211" s="7"/>
    </row>
    <row r="212" spans="1:8">
      <c r="A212">
        <f t="shared" si="3"/>
        <v>-187</v>
      </c>
      <c r="B212">
        <f>IFERROR(IF(GCD(euler_n,A212)=1,1,0),0)</f>
        <v>0</v>
      </c>
      <c r="C212" s="12"/>
      <c r="G212" s="7"/>
      <c r="H212" s="7"/>
    </row>
    <row r="213" spans="1:8">
      <c r="A213">
        <f t="shared" si="3"/>
        <v>-188</v>
      </c>
      <c r="B213">
        <f>IFERROR(IF(GCD(euler_n,A213)=1,1,0),0)</f>
        <v>0</v>
      </c>
      <c r="C213" s="12"/>
      <c r="G213" s="7"/>
      <c r="H213" s="7"/>
    </row>
    <row r="214" spans="1:8">
      <c r="A214">
        <f t="shared" si="3"/>
        <v>-189</v>
      </c>
      <c r="B214">
        <f>IFERROR(IF(GCD(euler_n,A214)=1,1,0),0)</f>
        <v>0</v>
      </c>
      <c r="C214" s="12"/>
      <c r="G214" s="7"/>
      <c r="H214" s="7"/>
    </row>
    <row r="215" spans="1:8">
      <c r="A215">
        <f t="shared" si="3"/>
        <v>-190</v>
      </c>
      <c r="B215">
        <f>IFERROR(IF(GCD(euler_n,A215)=1,1,0),0)</f>
        <v>0</v>
      </c>
      <c r="C215" s="12"/>
      <c r="G215" s="7"/>
      <c r="H215" s="7"/>
    </row>
    <row r="216" spans="1:8">
      <c r="A216">
        <f t="shared" si="3"/>
        <v>-191</v>
      </c>
      <c r="B216">
        <f>IFERROR(IF(GCD(euler_n,A216)=1,1,0),0)</f>
        <v>0</v>
      </c>
      <c r="C216" s="12"/>
      <c r="G216" s="7"/>
      <c r="H216" s="7"/>
    </row>
    <row r="217" spans="1:8">
      <c r="A217">
        <f t="shared" si="3"/>
        <v>-192</v>
      </c>
      <c r="B217">
        <f>IFERROR(IF(GCD(euler_n,A217)=1,1,0),0)</f>
        <v>0</v>
      </c>
      <c r="C217" s="12"/>
      <c r="G217" s="7"/>
      <c r="H217" s="7"/>
    </row>
    <row r="218" spans="1:8">
      <c r="A218">
        <f t="shared" si="3"/>
        <v>-193</v>
      </c>
      <c r="B218">
        <f>IFERROR(IF(GCD(euler_n,A218)=1,1,0),0)</f>
        <v>0</v>
      </c>
      <c r="C218" s="12"/>
      <c r="G218" s="7"/>
      <c r="H218" s="7"/>
    </row>
    <row r="219" spans="1:8">
      <c r="A219">
        <f t="shared" si="3"/>
        <v>-194</v>
      </c>
      <c r="B219">
        <f>IFERROR(IF(GCD(euler_n,A219)=1,1,0),0)</f>
        <v>0</v>
      </c>
      <c r="C219" s="12"/>
      <c r="G219" s="7"/>
      <c r="H219" s="7"/>
    </row>
    <row r="220" spans="1:8">
      <c r="A220">
        <f t="shared" si="3"/>
        <v>-195</v>
      </c>
      <c r="B220">
        <f>IFERROR(IF(GCD(euler_n,A220)=1,1,0),0)</f>
        <v>0</v>
      </c>
      <c r="C220" s="12"/>
      <c r="G220" s="7"/>
      <c r="H220" s="7"/>
    </row>
    <row r="221" spans="1:8">
      <c r="A221">
        <f t="shared" si="3"/>
        <v>-196</v>
      </c>
      <c r="B221">
        <f>IFERROR(IF(GCD(euler_n,A221)=1,1,0),0)</f>
        <v>0</v>
      </c>
      <c r="C221" s="12"/>
      <c r="G221" s="7"/>
      <c r="H221" s="7"/>
    </row>
    <row r="222" spans="1:8">
      <c r="A222">
        <f t="shared" si="3"/>
        <v>-197</v>
      </c>
      <c r="B222">
        <f>IFERROR(IF(GCD(euler_n,A222)=1,1,0),0)</f>
        <v>0</v>
      </c>
      <c r="C222" s="12"/>
      <c r="G222" s="7"/>
      <c r="H222" s="7"/>
    </row>
    <row r="223" spans="1:8">
      <c r="A223">
        <f t="shared" si="3"/>
        <v>-198</v>
      </c>
      <c r="B223">
        <f>IFERROR(IF(GCD(euler_n,A223)=1,1,0),0)</f>
        <v>0</v>
      </c>
      <c r="C223" s="12"/>
      <c r="G223" s="7"/>
      <c r="H223" s="7"/>
    </row>
    <row r="224" spans="1:8">
      <c r="A224">
        <f t="shared" si="3"/>
        <v>-199</v>
      </c>
      <c r="B224">
        <f>IFERROR(IF(GCD(euler_n,A224)=1,1,0),0)</f>
        <v>0</v>
      </c>
      <c r="C224" s="12"/>
      <c r="G224" s="7"/>
      <c r="H224" s="7"/>
    </row>
    <row r="225" spans="1:8">
      <c r="A225">
        <f t="shared" si="3"/>
        <v>-200</v>
      </c>
      <c r="B225">
        <f>IFERROR(IF(GCD(euler_n,A225)=1,1,0),0)</f>
        <v>0</v>
      </c>
      <c r="C225" s="12"/>
      <c r="G225" s="7"/>
      <c r="H225" s="7"/>
    </row>
    <row r="226" spans="1:8">
      <c r="A226">
        <f t="shared" si="3"/>
        <v>-201</v>
      </c>
      <c r="B226">
        <f>IFERROR(IF(GCD(euler_n,A226)=1,1,0),0)</f>
        <v>0</v>
      </c>
      <c r="C226" s="12"/>
      <c r="G226" s="7"/>
      <c r="H226" s="7"/>
    </row>
    <row r="227" spans="1:8">
      <c r="A227">
        <f t="shared" si="3"/>
        <v>-202</v>
      </c>
      <c r="B227">
        <f>IFERROR(IF(GCD(euler_n,A227)=1,1,0),0)</f>
        <v>0</v>
      </c>
      <c r="C227" s="12"/>
      <c r="G227" s="7"/>
      <c r="H227" s="7"/>
    </row>
    <row r="228" spans="1:8">
      <c r="A228">
        <f t="shared" si="3"/>
        <v>-203</v>
      </c>
      <c r="B228">
        <f>IFERROR(IF(GCD(euler_n,A228)=1,1,0),0)</f>
        <v>0</v>
      </c>
      <c r="C228" s="12"/>
      <c r="G228" s="7"/>
      <c r="H228" s="7"/>
    </row>
    <row r="229" spans="1:8">
      <c r="A229">
        <f t="shared" si="3"/>
        <v>-204</v>
      </c>
      <c r="B229">
        <f>IFERROR(IF(GCD(euler_n,A229)=1,1,0),0)</f>
        <v>0</v>
      </c>
      <c r="C229" s="12"/>
      <c r="G229" s="7"/>
      <c r="H229" s="7"/>
    </row>
    <row r="230" spans="1:8">
      <c r="A230">
        <f t="shared" si="3"/>
        <v>-205</v>
      </c>
      <c r="B230">
        <f>IFERROR(IF(GCD(euler_n,A230)=1,1,0),0)</f>
        <v>0</v>
      </c>
      <c r="C230" s="12"/>
      <c r="G230" s="7"/>
      <c r="H230" s="7"/>
    </row>
    <row r="231" spans="1:8">
      <c r="A231">
        <f t="shared" si="3"/>
        <v>-206</v>
      </c>
      <c r="B231">
        <f>IFERROR(IF(GCD(euler_n,A231)=1,1,0),0)</f>
        <v>0</v>
      </c>
      <c r="C231" s="12"/>
      <c r="G231" s="7"/>
      <c r="H231" s="7"/>
    </row>
    <row r="232" spans="1:8">
      <c r="A232">
        <f t="shared" si="3"/>
        <v>-207</v>
      </c>
      <c r="B232">
        <f>IFERROR(IF(GCD(euler_n,A232)=1,1,0),0)</f>
        <v>0</v>
      </c>
      <c r="C232" s="12"/>
      <c r="G232" s="7"/>
      <c r="H232" s="7"/>
    </row>
    <row r="233" spans="1:8">
      <c r="A233">
        <f t="shared" si="3"/>
        <v>-208</v>
      </c>
      <c r="B233">
        <f>IFERROR(IF(GCD(euler_n,A233)=1,1,0),0)</f>
        <v>0</v>
      </c>
      <c r="C233" s="12"/>
      <c r="G233" s="7"/>
      <c r="H233" s="7"/>
    </row>
    <row r="234" spans="1:8">
      <c r="A234">
        <f t="shared" si="3"/>
        <v>-209</v>
      </c>
      <c r="B234">
        <f>IFERROR(IF(GCD(euler_n,A234)=1,1,0),0)</f>
        <v>0</v>
      </c>
      <c r="C234" s="12"/>
      <c r="G234" s="7"/>
      <c r="H234" s="7"/>
    </row>
    <row r="235" spans="1:8">
      <c r="A235">
        <f t="shared" si="3"/>
        <v>-210</v>
      </c>
      <c r="B235">
        <f>IFERROR(IF(GCD(euler_n,A235)=1,1,0),0)</f>
        <v>0</v>
      </c>
      <c r="C235" s="12"/>
      <c r="G235" s="7"/>
      <c r="H235" s="7"/>
    </row>
    <row r="236" spans="1:8">
      <c r="A236">
        <f t="shared" si="3"/>
        <v>-211</v>
      </c>
      <c r="B236">
        <f>IFERROR(IF(GCD(euler_n,A236)=1,1,0),0)</f>
        <v>0</v>
      </c>
      <c r="C236" s="12"/>
      <c r="G236" s="7"/>
      <c r="H236" s="7"/>
    </row>
    <row r="237" spans="1:8">
      <c r="A237">
        <f t="shared" si="3"/>
        <v>-212</v>
      </c>
      <c r="B237">
        <f>IFERROR(IF(GCD(euler_n,A237)=1,1,0),0)</f>
        <v>0</v>
      </c>
      <c r="C237" s="12"/>
      <c r="G237" s="7"/>
      <c r="H237" s="7"/>
    </row>
    <row r="238" spans="1:8">
      <c r="A238">
        <f t="shared" si="3"/>
        <v>-213</v>
      </c>
      <c r="B238">
        <f>IFERROR(IF(GCD(euler_n,A238)=1,1,0),0)</f>
        <v>0</v>
      </c>
      <c r="C238" s="12"/>
      <c r="G238" s="7"/>
      <c r="H238" s="7"/>
    </row>
    <row r="239" spans="1:8">
      <c r="A239">
        <f t="shared" si="3"/>
        <v>-214</v>
      </c>
      <c r="B239">
        <f>IFERROR(IF(GCD(euler_n,A239)=1,1,0),0)</f>
        <v>0</v>
      </c>
      <c r="C239" s="12"/>
      <c r="G239" s="7"/>
      <c r="H239" s="7"/>
    </row>
    <row r="240" spans="1:8">
      <c r="A240">
        <f t="shared" si="3"/>
        <v>-215</v>
      </c>
      <c r="B240">
        <f>IFERROR(IF(GCD(euler_n,A240)=1,1,0),0)</f>
        <v>0</v>
      </c>
      <c r="C240" s="12"/>
      <c r="G240" s="7"/>
      <c r="H240" s="7"/>
    </row>
    <row r="241" spans="1:8">
      <c r="A241">
        <f t="shared" si="3"/>
        <v>-216</v>
      </c>
      <c r="B241">
        <f>IFERROR(IF(GCD(euler_n,A241)=1,1,0),0)</f>
        <v>0</v>
      </c>
      <c r="C241" s="12"/>
      <c r="G241" s="7"/>
      <c r="H241" s="7"/>
    </row>
    <row r="242" spans="1:8">
      <c r="A242">
        <f t="shared" si="3"/>
        <v>-217</v>
      </c>
      <c r="B242">
        <f>IFERROR(IF(GCD(euler_n,A242)=1,1,0),0)</f>
        <v>0</v>
      </c>
      <c r="C242" s="12"/>
      <c r="G242" s="7"/>
      <c r="H242" s="7"/>
    </row>
    <row r="243" spans="1:8">
      <c r="A243">
        <f t="shared" si="3"/>
        <v>-218</v>
      </c>
      <c r="B243">
        <f>IFERROR(IF(GCD(euler_n,A243)=1,1,0),0)</f>
        <v>0</v>
      </c>
      <c r="C243" s="12"/>
      <c r="G243" s="7"/>
      <c r="H243" s="7"/>
    </row>
    <row r="244" spans="1:8">
      <c r="A244">
        <f t="shared" si="3"/>
        <v>-219</v>
      </c>
      <c r="B244">
        <f>IFERROR(IF(GCD(euler_n,A244)=1,1,0),0)</f>
        <v>0</v>
      </c>
      <c r="C244" s="12"/>
      <c r="G244" s="7"/>
      <c r="H244" s="7"/>
    </row>
    <row r="245" spans="1:8">
      <c r="A245">
        <f t="shared" si="3"/>
        <v>-220</v>
      </c>
      <c r="B245">
        <f>IFERROR(IF(GCD(euler_n,A245)=1,1,0),0)</f>
        <v>0</v>
      </c>
      <c r="C245" s="12"/>
      <c r="G245" s="7"/>
      <c r="H245" s="7"/>
    </row>
    <row r="246" spans="1:8">
      <c r="A246">
        <f t="shared" si="3"/>
        <v>-221</v>
      </c>
      <c r="B246">
        <f>IFERROR(IF(GCD(euler_n,A246)=1,1,0),0)</f>
        <v>0</v>
      </c>
      <c r="C246" s="12"/>
      <c r="G246" s="7"/>
      <c r="H246" s="7"/>
    </row>
    <row r="247" spans="1:8">
      <c r="A247">
        <f t="shared" si="3"/>
        <v>-222</v>
      </c>
      <c r="B247">
        <f>IFERROR(IF(GCD(euler_n,A247)=1,1,0),0)</f>
        <v>0</v>
      </c>
      <c r="C247" s="12"/>
      <c r="G247" s="7"/>
      <c r="H247" s="7"/>
    </row>
    <row r="248" spans="1:8">
      <c r="A248">
        <f t="shared" si="3"/>
        <v>-223</v>
      </c>
      <c r="B248">
        <f>IFERROR(IF(GCD(euler_n,A248)=1,1,0),0)</f>
        <v>0</v>
      </c>
      <c r="C248" s="12"/>
      <c r="G248" s="7"/>
      <c r="H248" s="7"/>
    </row>
    <row r="249" spans="1:8">
      <c r="A249">
        <f t="shared" si="3"/>
        <v>-224</v>
      </c>
      <c r="B249">
        <f>IFERROR(IF(GCD(euler_n,A249)=1,1,0),0)</f>
        <v>0</v>
      </c>
      <c r="C249" s="12"/>
      <c r="G249" s="7"/>
      <c r="H249" s="7"/>
    </row>
    <row r="250" spans="1:8">
      <c r="A250">
        <f t="shared" si="3"/>
        <v>-225</v>
      </c>
      <c r="B250">
        <f>IFERROR(IF(GCD(euler_n,A250)=1,1,0),0)</f>
        <v>0</v>
      </c>
      <c r="C250" s="12"/>
      <c r="G250" s="7"/>
      <c r="H250" s="7"/>
    </row>
    <row r="251" spans="1:8">
      <c r="A251">
        <f t="shared" si="3"/>
        <v>-226</v>
      </c>
      <c r="B251">
        <f>IFERROR(IF(GCD(euler_n,A251)=1,1,0),0)</f>
        <v>0</v>
      </c>
      <c r="C251" s="12"/>
      <c r="G251" s="7"/>
      <c r="H251" s="7"/>
    </row>
    <row r="252" spans="1:8">
      <c r="A252">
        <f t="shared" si="3"/>
        <v>-227</v>
      </c>
      <c r="B252">
        <f>IFERROR(IF(GCD(euler_n,A252)=1,1,0),0)</f>
        <v>0</v>
      </c>
      <c r="C252" s="12"/>
      <c r="G252" s="7"/>
      <c r="H252" s="7"/>
    </row>
    <row r="253" spans="1:8">
      <c r="A253">
        <f t="shared" si="3"/>
        <v>-228</v>
      </c>
      <c r="B253">
        <f>IFERROR(IF(GCD(euler_n,A253)=1,1,0),0)</f>
        <v>0</v>
      </c>
      <c r="C253" s="12"/>
      <c r="G253" s="7"/>
      <c r="H253" s="7"/>
    </row>
    <row r="254" spans="1:8">
      <c r="A254">
        <f t="shared" si="3"/>
        <v>-229</v>
      </c>
      <c r="B254">
        <f>IFERROR(IF(GCD(euler_n,A254)=1,1,0),0)</f>
        <v>0</v>
      </c>
      <c r="C254" s="12"/>
      <c r="G254" s="7"/>
      <c r="H254" s="7"/>
    </row>
    <row r="255" spans="1:8">
      <c r="A255">
        <f t="shared" si="3"/>
        <v>-230</v>
      </c>
      <c r="B255">
        <f>IFERROR(IF(GCD(euler_n,A255)=1,1,0),0)</f>
        <v>0</v>
      </c>
      <c r="C255" s="12"/>
      <c r="G255" s="7"/>
      <c r="H255" s="7"/>
    </row>
    <row r="256" spans="1:8">
      <c r="A256">
        <f t="shared" si="3"/>
        <v>-231</v>
      </c>
      <c r="B256">
        <f>IFERROR(IF(GCD(euler_n,A256)=1,1,0),0)</f>
        <v>0</v>
      </c>
      <c r="C256" s="12"/>
      <c r="G256" s="7"/>
      <c r="H256" s="7"/>
    </row>
    <row r="257" spans="1:8">
      <c r="A257">
        <f t="shared" si="3"/>
        <v>-232</v>
      </c>
      <c r="B257">
        <f>IFERROR(IF(GCD(euler_n,A257)=1,1,0),0)</f>
        <v>0</v>
      </c>
      <c r="C257" s="12"/>
      <c r="G257" s="7"/>
      <c r="H257" s="7"/>
    </row>
    <row r="258" spans="1:8">
      <c r="A258">
        <f t="shared" si="3"/>
        <v>-233</v>
      </c>
      <c r="B258">
        <f>IFERROR(IF(GCD(euler_n,A258)=1,1,0),0)</f>
        <v>0</v>
      </c>
      <c r="C258" s="12"/>
      <c r="G258" s="7"/>
      <c r="H258" s="7"/>
    </row>
    <row r="259" spans="1:8">
      <c r="A259">
        <f t="shared" si="3"/>
        <v>-234</v>
      </c>
      <c r="B259">
        <f>IFERROR(IF(GCD(euler_n,A259)=1,1,0),0)</f>
        <v>0</v>
      </c>
      <c r="C259" s="12"/>
      <c r="G259" s="7"/>
      <c r="H259" s="7"/>
    </row>
    <row r="260" spans="1:8">
      <c r="A260">
        <f t="shared" si="3"/>
        <v>-235</v>
      </c>
      <c r="B260">
        <f>IFERROR(IF(GCD(euler_n,A260)=1,1,0),0)</f>
        <v>0</v>
      </c>
      <c r="C260" s="12"/>
      <c r="G260" s="7"/>
      <c r="H260" s="7"/>
    </row>
    <row r="261" spans="1:8">
      <c r="A261">
        <f t="shared" si="3"/>
        <v>-236</v>
      </c>
      <c r="B261">
        <f>IFERROR(IF(GCD(euler_n,A261)=1,1,0),0)</f>
        <v>0</v>
      </c>
      <c r="C261" s="12"/>
      <c r="G261" s="7"/>
      <c r="H261" s="7"/>
    </row>
    <row r="262" spans="1:8">
      <c r="A262">
        <f t="shared" si="3"/>
        <v>-237</v>
      </c>
      <c r="B262">
        <f>IFERROR(IF(GCD(euler_n,A262)=1,1,0),0)</f>
        <v>0</v>
      </c>
      <c r="C262" s="12"/>
      <c r="G262" s="7"/>
      <c r="H262" s="7"/>
    </row>
    <row r="263" spans="1:8">
      <c r="A263">
        <f t="shared" si="3"/>
        <v>-238</v>
      </c>
      <c r="B263">
        <f>IFERROR(IF(GCD(euler_n,A263)=1,1,0),0)</f>
        <v>0</v>
      </c>
      <c r="C263" s="12"/>
      <c r="G263" s="7"/>
      <c r="H263" s="7"/>
    </row>
    <row r="264" spans="1:8">
      <c r="A264">
        <f t="shared" si="3"/>
        <v>-239</v>
      </c>
      <c r="B264">
        <f>IFERROR(IF(GCD(euler_n,A264)=1,1,0),0)</f>
        <v>0</v>
      </c>
      <c r="C264" s="12"/>
      <c r="G264" s="7"/>
      <c r="H264" s="7"/>
    </row>
    <row r="265" spans="1:8">
      <c r="A265">
        <f t="shared" si="3"/>
        <v>-240</v>
      </c>
      <c r="B265">
        <f>IFERROR(IF(GCD(euler_n,A265)=1,1,0),0)</f>
        <v>0</v>
      </c>
      <c r="C265" s="12"/>
      <c r="G265" s="7"/>
      <c r="H265" s="7"/>
    </row>
    <row r="266" spans="1:8">
      <c r="A266">
        <f t="shared" si="3"/>
        <v>-241</v>
      </c>
      <c r="B266">
        <f>IFERROR(IF(GCD(euler_n,A266)=1,1,0),0)</f>
        <v>0</v>
      </c>
      <c r="C266" s="12"/>
      <c r="G266" s="7"/>
      <c r="H266" s="7"/>
    </row>
    <row r="267" spans="1:8">
      <c r="A267">
        <f t="shared" si="3"/>
        <v>-242</v>
      </c>
      <c r="B267">
        <f>IFERROR(IF(GCD(euler_n,A267)=1,1,0),0)</f>
        <v>0</v>
      </c>
      <c r="C267" s="12"/>
      <c r="G267" s="7"/>
      <c r="H267" s="7"/>
    </row>
    <row r="268" spans="1:8">
      <c r="A268">
        <f t="shared" si="3"/>
        <v>-243</v>
      </c>
      <c r="B268">
        <f>IFERROR(IF(GCD(euler_n,A268)=1,1,0),0)</f>
        <v>0</v>
      </c>
      <c r="C268" s="12"/>
      <c r="G268" s="7"/>
      <c r="H268" s="7"/>
    </row>
    <row r="269" spans="1:8">
      <c r="A269">
        <f t="shared" si="3"/>
        <v>-244</v>
      </c>
      <c r="B269">
        <f>IFERROR(IF(GCD(euler_n,A269)=1,1,0),0)</f>
        <v>0</v>
      </c>
      <c r="C269" s="12"/>
      <c r="G269" s="7"/>
      <c r="H269" s="7"/>
    </row>
    <row r="270" spans="1:8">
      <c r="A270">
        <f t="shared" ref="A270:A333" si="4">A269-1</f>
        <v>-245</v>
      </c>
      <c r="B270">
        <f>IFERROR(IF(GCD(euler_n,A270)=1,1,0),0)</f>
        <v>0</v>
      </c>
      <c r="C270" s="12"/>
      <c r="G270" s="7"/>
      <c r="H270" s="7"/>
    </row>
    <row r="271" spans="1:8">
      <c r="A271">
        <f t="shared" si="4"/>
        <v>-246</v>
      </c>
      <c r="B271">
        <f>IFERROR(IF(GCD(euler_n,A271)=1,1,0),0)</f>
        <v>0</v>
      </c>
      <c r="C271" s="12"/>
      <c r="G271" s="7"/>
      <c r="H271" s="7"/>
    </row>
    <row r="272" spans="1:8">
      <c r="A272">
        <f t="shared" si="4"/>
        <v>-247</v>
      </c>
      <c r="B272">
        <f>IFERROR(IF(GCD(euler_n,A272)=1,1,0),0)</f>
        <v>0</v>
      </c>
      <c r="C272" s="12"/>
      <c r="G272" s="7"/>
      <c r="H272" s="7"/>
    </row>
    <row r="273" spans="1:8">
      <c r="A273">
        <f t="shared" si="4"/>
        <v>-248</v>
      </c>
      <c r="B273">
        <f>IFERROR(IF(GCD(euler_n,A273)=1,1,0),0)</f>
        <v>0</v>
      </c>
      <c r="C273" s="12"/>
      <c r="G273" s="7"/>
      <c r="H273" s="7"/>
    </row>
    <row r="274" spans="1:8">
      <c r="A274">
        <f t="shared" si="4"/>
        <v>-249</v>
      </c>
      <c r="B274">
        <f>IFERROR(IF(GCD(euler_n,A274)=1,1,0),0)</f>
        <v>0</v>
      </c>
      <c r="C274" s="12"/>
      <c r="G274" s="7"/>
      <c r="H274" s="7"/>
    </row>
    <row r="275" spans="1:8">
      <c r="A275">
        <f t="shared" si="4"/>
        <v>-250</v>
      </c>
      <c r="B275">
        <f>IFERROR(IF(GCD(euler_n,A275)=1,1,0),0)</f>
        <v>0</v>
      </c>
      <c r="C275" s="12"/>
      <c r="G275" s="7"/>
      <c r="H275" s="7"/>
    </row>
    <row r="276" spans="1:8">
      <c r="A276">
        <f t="shared" si="4"/>
        <v>-251</v>
      </c>
      <c r="B276">
        <f>IFERROR(IF(GCD(euler_n,A276)=1,1,0),0)</f>
        <v>0</v>
      </c>
      <c r="C276" s="12"/>
      <c r="G276" s="7"/>
      <c r="H276" s="7"/>
    </row>
    <row r="277" spans="1:8">
      <c r="A277">
        <f t="shared" si="4"/>
        <v>-252</v>
      </c>
      <c r="B277">
        <f>IFERROR(IF(GCD(euler_n,A277)=1,1,0),0)</f>
        <v>0</v>
      </c>
      <c r="C277" s="12"/>
      <c r="G277" s="7"/>
      <c r="H277" s="7"/>
    </row>
    <row r="278" spans="1:8">
      <c r="A278">
        <f t="shared" si="4"/>
        <v>-253</v>
      </c>
      <c r="B278">
        <f>IFERROR(IF(GCD(euler_n,A278)=1,1,0),0)</f>
        <v>0</v>
      </c>
      <c r="C278" s="12"/>
      <c r="G278" s="7"/>
      <c r="H278" s="7"/>
    </row>
    <row r="279" spans="1:8">
      <c r="A279">
        <f t="shared" si="4"/>
        <v>-254</v>
      </c>
      <c r="B279">
        <f>IFERROR(IF(GCD(euler_n,A279)=1,1,0),0)</f>
        <v>0</v>
      </c>
      <c r="C279" s="12"/>
      <c r="G279" s="7"/>
      <c r="H279" s="7"/>
    </row>
    <row r="280" spans="1:8">
      <c r="A280">
        <f t="shared" si="4"/>
        <v>-255</v>
      </c>
      <c r="B280">
        <f>IFERROR(IF(GCD(euler_n,A280)=1,1,0),0)</f>
        <v>0</v>
      </c>
      <c r="C280" s="12"/>
      <c r="G280" s="7"/>
      <c r="H280" s="7"/>
    </row>
    <row r="281" spans="1:8">
      <c r="A281">
        <f t="shared" si="4"/>
        <v>-256</v>
      </c>
      <c r="B281">
        <f>IFERROR(IF(GCD(euler_n,A281)=1,1,0),0)</f>
        <v>0</v>
      </c>
      <c r="C281" s="12"/>
      <c r="G281" s="7"/>
      <c r="H281" s="7"/>
    </row>
    <row r="282" spans="1:8">
      <c r="A282">
        <f t="shared" si="4"/>
        <v>-257</v>
      </c>
      <c r="B282">
        <f>IFERROR(IF(GCD(euler_n,A282)=1,1,0),0)</f>
        <v>0</v>
      </c>
      <c r="C282" s="12"/>
      <c r="G282" s="7"/>
      <c r="H282" s="7"/>
    </row>
    <row r="283" spans="1:8">
      <c r="A283">
        <f t="shared" si="4"/>
        <v>-258</v>
      </c>
      <c r="B283">
        <f>IFERROR(IF(GCD(euler_n,A283)=1,1,0),0)</f>
        <v>0</v>
      </c>
      <c r="C283" s="12"/>
      <c r="G283" s="7"/>
      <c r="H283" s="7"/>
    </row>
    <row r="284" spans="1:8">
      <c r="A284">
        <f t="shared" si="4"/>
        <v>-259</v>
      </c>
      <c r="B284">
        <f>IFERROR(IF(GCD(euler_n,A284)=1,1,0),0)</f>
        <v>0</v>
      </c>
      <c r="C284" s="12"/>
      <c r="G284" s="7"/>
      <c r="H284" s="7"/>
    </row>
    <row r="285" spans="1:8">
      <c r="A285">
        <f t="shared" si="4"/>
        <v>-260</v>
      </c>
      <c r="B285">
        <f>IFERROR(IF(GCD(euler_n,A285)=1,1,0),0)</f>
        <v>0</v>
      </c>
      <c r="C285" s="12"/>
      <c r="G285" s="7"/>
      <c r="H285" s="7"/>
    </row>
    <row r="286" spans="1:8">
      <c r="A286">
        <f t="shared" si="4"/>
        <v>-261</v>
      </c>
      <c r="B286">
        <f>IFERROR(IF(GCD(euler_n,A286)=1,1,0),0)</f>
        <v>0</v>
      </c>
      <c r="C286" s="12"/>
      <c r="G286" s="7"/>
      <c r="H286" s="7"/>
    </row>
    <row r="287" spans="1:8">
      <c r="A287">
        <f t="shared" si="4"/>
        <v>-262</v>
      </c>
      <c r="B287">
        <f>IFERROR(IF(GCD(euler_n,A287)=1,1,0),0)</f>
        <v>0</v>
      </c>
      <c r="C287" s="12"/>
      <c r="G287" s="7"/>
      <c r="H287" s="7"/>
    </row>
    <row r="288" spans="1:8">
      <c r="A288">
        <f t="shared" si="4"/>
        <v>-263</v>
      </c>
      <c r="B288">
        <f>IFERROR(IF(GCD(euler_n,A288)=1,1,0),0)</f>
        <v>0</v>
      </c>
      <c r="C288" s="12"/>
      <c r="G288" s="7"/>
      <c r="H288" s="7"/>
    </row>
    <row r="289" spans="1:8">
      <c r="A289">
        <f t="shared" si="4"/>
        <v>-264</v>
      </c>
      <c r="B289">
        <f>IFERROR(IF(GCD(euler_n,A289)=1,1,0),0)</f>
        <v>0</v>
      </c>
      <c r="C289" s="12"/>
      <c r="G289" s="7"/>
      <c r="H289" s="7"/>
    </row>
    <row r="290" spans="1:8">
      <c r="A290">
        <f t="shared" si="4"/>
        <v>-265</v>
      </c>
      <c r="B290">
        <f>IFERROR(IF(GCD(euler_n,A290)=1,1,0),0)</f>
        <v>0</v>
      </c>
      <c r="C290" s="12"/>
      <c r="G290" s="7"/>
      <c r="H290" s="7"/>
    </row>
    <row r="291" spans="1:8">
      <c r="A291">
        <f t="shared" si="4"/>
        <v>-266</v>
      </c>
      <c r="B291">
        <f>IFERROR(IF(GCD(euler_n,A291)=1,1,0),0)</f>
        <v>0</v>
      </c>
      <c r="C291" s="12"/>
      <c r="G291" s="7"/>
      <c r="H291" s="7"/>
    </row>
    <row r="292" spans="1:8">
      <c r="A292">
        <f t="shared" ref="A292:A355" si="5">A291-1</f>
        <v>-267</v>
      </c>
      <c r="B292">
        <f>IFERROR(IF(GCD(euler_n,A292)=1,1,0),0)</f>
        <v>0</v>
      </c>
      <c r="C292" s="12"/>
      <c r="G292" s="7"/>
      <c r="H292" s="7"/>
    </row>
    <row r="293" spans="1:8">
      <c r="A293">
        <f t="shared" si="5"/>
        <v>-268</v>
      </c>
      <c r="B293">
        <f>IFERROR(IF(GCD(euler_n,A293)=1,1,0),0)</f>
        <v>0</v>
      </c>
      <c r="C293" s="12"/>
      <c r="G293" s="7"/>
      <c r="H293" s="7"/>
    </row>
    <row r="294" spans="1:8">
      <c r="A294">
        <f t="shared" si="5"/>
        <v>-269</v>
      </c>
      <c r="B294">
        <f>IFERROR(IF(GCD(euler_n,A294)=1,1,0),0)</f>
        <v>0</v>
      </c>
      <c r="C294" s="12"/>
      <c r="G294" s="7"/>
      <c r="H294" s="7"/>
    </row>
    <row r="295" spans="1:8">
      <c r="A295">
        <f t="shared" si="5"/>
        <v>-270</v>
      </c>
      <c r="B295">
        <f>IFERROR(IF(GCD(euler_n,A295)=1,1,0),0)</f>
        <v>0</v>
      </c>
      <c r="C295" s="12"/>
      <c r="G295" s="7"/>
      <c r="H295" s="7"/>
    </row>
    <row r="296" spans="1:8">
      <c r="A296">
        <f t="shared" si="5"/>
        <v>-271</v>
      </c>
      <c r="B296">
        <f>IFERROR(IF(GCD(euler_n,A296)=1,1,0),0)</f>
        <v>0</v>
      </c>
      <c r="C296" s="12"/>
      <c r="G296" s="7"/>
      <c r="H296" s="7"/>
    </row>
    <row r="297" spans="1:8">
      <c r="A297">
        <f t="shared" si="5"/>
        <v>-272</v>
      </c>
      <c r="B297">
        <f>IFERROR(IF(GCD(euler_n,A297)=1,1,0),0)</f>
        <v>0</v>
      </c>
      <c r="C297" s="12"/>
      <c r="G297" s="7"/>
      <c r="H297" s="7"/>
    </row>
    <row r="298" spans="1:8">
      <c r="A298">
        <f t="shared" si="5"/>
        <v>-273</v>
      </c>
      <c r="B298">
        <f>IFERROR(IF(GCD(euler_n,A298)=1,1,0),0)</f>
        <v>0</v>
      </c>
      <c r="C298" s="12"/>
      <c r="G298" s="7"/>
      <c r="H298" s="7"/>
    </row>
    <row r="299" spans="1:8">
      <c r="A299">
        <f t="shared" si="5"/>
        <v>-274</v>
      </c>
      <c r="B299">
        <f>IFERROR(IF(GCD(euler_n,A299)=1,1,0),0)</f>
        <v>0</v>
      </c>
      <c r="C299" s="12"/>
      <c r="G299" s="7"/>
      <c r="H299" s="7"/>
    </row>
    <row r="300" spans="1:8">
      <c r="A300">
        <f t="shared" si="5"/>
        <v>-275</v>
      </c>
      <c r="B300">
        <f>IFERROR(IF(GCD(euler_n,A300)=1,1,0),0)</f>
        <v>0</v>
      </c>
      <c r="C300" s="12"/>
      <c r="G300" s="7"/>
      <c r="H300" s="7"/>
    </row>
    <row r="301" spans="1:8">
      <c r="A301">
        <f t="shared" si="5"/>
        <v>-276</v>
      </c>
      <c r="B301">
        <f>IFERROR(IF(GCD(euler_n,A301)=1,1,0),0)</f>
        <v>0</v>
      </c>
      <c r="C301" s="12"/>
      <c r="G301" s="7"/>
      <c r="H301" s="7"/>
    </row>
    <row r="302" spans="1:8">
      <c r="A302">
        <f t="shared" si="5"/>
        <v>-277</v>
      </c>
      <c r="B302">
        <f>IFERROR(IF(GCD(euler_n,A302)=1,1,0),0)</f>
        <v>0</v>
      </c>
      <c r="C302" s="12"/>
      <c r="G302" s="7"/>
      <c r="H302" s="7"/>
    </row>
    <row r="303" spans="1:8">
      <c r="A303">
        <f t="shared" si="5"/>
        <v>-278</v>
      </c>
      <c r="B303">
        <f>IFERROR(IF(GCD(euler_n,A303)=1,1,0),0)</f>
        <v>0</v>
      </c>
      <c r="C303" s="12"/>
      <c r="G303" s="7"/>
      <c r="H303" s="7"/>
    </row>
    <row r="304" spans="1:8">
      <c r="A304">
        <f t="shared" si="5"/>
        <v>-279</v>
      </c>
      <c r="B304">
        <f>IFERROR(IF(GCD(euler_n,A304)=1,1,0),0)</f>
        <v>0</v>
      </c>
      <c r="C304" s="12"/>
      <c r="G304" s="7"/>
      <c r="H304" s="7"/>
    </row>
    <row r="305" spans="1:8">
      <c r="A305">
        <f t="shared" si="5"/>
        <v>-280</v>
      </c>
      <c r="B305">
        <f>IFERROR(IF(GCD(euler_n,A305)=1,1,0),0)</f>
        <v>0</v>
      </c>
      <c r="C305" s="12"/>
      <c r="G305" s="7"/>
      <c r="H305" s="7"/>
    </row>
    <row r="306" spans="1:8">
      <c r="A306">
        <f t="shared" si="5"/>
        <v>-281</v>
      </c>
      <c r="B306">
        <f>IFERROR(IF(GCD(euler_n,A306)=1,1,0),0)</f>
        <v>0</v>
      </c>
      <c r="C306" s="12"/>
      <c r="G306" s="7"/>
      <c r="H306" s="7"/>
    </row>
    <row r="307" spans="1:8">
      <c r="A307">
        <f t="shared" si="5"/>
        <v>-282</v>
      </c>
      <c r="B307">
        <f>IFERROR(IF(GCD(euler_n,A307)=1,1,0),0)</f>
        <v>0</v>
      </c>
      <c r="C307" s="12"/>
      <c r="G307" s="7"/>
      <c r="H307" s="7"/>
    </row>
    <row r="308" spans="1:8">
      <c r="A308">
        <f t="shared" si="5"/>
        <v>-283</v>
      </c>
      <c r="B308">
        <f>IFERROR(IF(GCD(euler_n,A308)=1,1,0),0)</f>
        <v>0</v>
      </c>
      <c r="C308" s="12"/>
      <c r="G308" s="7"/>
      <c r="H308" s="7"/>
    </row>
    <row r="309" spans="1:8">
      <c r="A309">
        <f t="shared" si="5"/>
        <v>-284</v>
      </c>
      <c r="B309">
        <f>IFERROR(IF(GCD(euler_n,A309)=1,1,0),0)</f>
        <v>0</v>
      </c>
      <c r="C309" s="12"/>
      <c r="G309" s="7"/>
      <c r="H309" s="7"/>
    </row>
    <row r="310" spans="1:8">
      <c r="A310">
        <f t="shared" si="5"/>
        <v>-285</v>
      </c>
      <c r="B310">
        <f>IFERROR(IF(GCD(euler_n,A310)=1,1,0),0)</f>
        <v>0</v>
      </c>
      <c r="C310" s="12"/>
      <c r="G310" s="7"/>
      <c r="H310" s="7"/>
    </row>
    <row r="311" spans="1:8">
      <c r="A311">
        <f t="shared" si="5"/>
        <v>-286</v>
      </c>
      <c r="B311">
        <f>IFERROR(IF(GCD(euler_n,A311)=1,1,0),0)</f>
        <v>0</v>
      </c>
      <c r="C311" s="12"/>
      <c r="G311" s="7"/>
      <c r="H311" s="7"/>
    </row>
    <row r="312" spans="1:8">
      <c r="A312">
        <f t="shared" si="5"/>
        <v>-287</v>
      </c>
      <c r="B312">
        <f>IFERROR(IF(GCD(euler_n,A312)=1,1,0),0)</f>
        <v>0</v>
      </c>
      <c r="C312" s="12"/>
      <c r="G312" s="7"/>
      <c r="H312" s="7"/>
    </row>
    <row r="313" spans="1:8">
      <c r="A313">
        <f t="shared" si="5"/>
        <v>-288</v>
      </c>
      <c r="B313">
        <f>IFERROR(IF(GCD(euler_n,A313)=1,1,0),0)</f>
        <v>0</v>
      </c>
      <c r="C313" s="12"/>
      <c r="G313" s="7"/>
      <c r="H313" s="7"/>
    </row>
    <row r="314" spans="1:8">
      <c r="A314">
        <f t="shared" si="5"/>
        <v>-289</v>
      </c>
      <c r="B314">
        <f>IFERROR(IF(GCD(euler_n,A314)=1,1,0),0)</f>
        <v>0</v>
      </c>
      <c r="C314" s="12"/>
      <c r="G314" s="7"/>
      <c r="H314" s="7"/>
    </row>
    <row r="315" spans="1:8">
      <c r="A315">
        <f t="shared" si="5"/>
        <v>-290</v>
      </c>
      <c r="B315">
        <f>IFERROR(IF(GCD(euler_n,A315)=1,1,0),0)</f>
        <v>0</v>
      </c>
      <c r="C315" s="12"/>
      <c r="G315" s="7"/>
      <c r="H315" s="7"/>
    </row>
    <row r="316" spans="1:8">
      <c r="A316">
        <f t="shared" si="5"/>
        <v>-291</v>
      </c>
      <c r="B316">
        <f>IFERROR(IF(GCD(euler_n,A316)=1,1,0),0)</f>
        <v>0</v>
      </c>
      <c r="C316" s="12"/>
      <c r="G316" s="7"/>
      <c r="H316" s="7"/>
    </row>
    <row r="317" spans="1:8">
      <c r="A317">
        <f t="shared" si="5"/>
        <v>-292</v>
      </c>
      <c r="B317">
        <f>IFERROR(IF(GCD(euler_n,A317)=1,1,0),0)</f>
        <v>0</v>
      </c>
      <c r="C317" s="12"/>
      <c r="G317" s="7"/>
      <c r="H317" s="7"/>
    </row>
    <row r="318" spans="1:8">
      <c r="A318">
        <f t="shared" si="5"/>
        <v>-293</v>
      </c>
      <c r="B318">
        <f>IFERROR(IF(GCD(euler_n,A318)=1,1,0),0)</f>
        <v>0</v>
      </c>
      <c r="C318" s="12"/>
      <c r="G318" s="7"/>
      <c r="H318" s="7"/>
    </row>
    <row r="319" spans="1:8">
      <c r="A319">
        <f t="shared" si="5"/>
        <v>-294</v>
      </c>
      <c r="B319">
        <f>IFERROR(IF(GCD(euler_n,A319)=1,1,0),0)</f>
        <v>0</v>
      </c>
      <c r="C319" s="12"/>
      <c r="G319" s="7"/>
      <c r="H319" s="7"/>
    </row>
    <row r="320" spans="1:8">
      <c r="A320">
        <f t="shared" si="5"/>
        <v>-295</v>
      </c>
      <c r="B320">
        <f>IFERROR(IF(GCD(euler_n,A320)=1,1,0),0)</f>
        <v>0</v>
      </c>
      <c r="C320" s="12"/>
      <c r="G320" s="7"/>
      <c r="H320" s="7"/>
    </row>
    <row r="321" spans="1:8">
      <c r="A321">
        <f t="shared" si="5"/>
        <v>-296</v>
      </c>
      <c r="B321">
        <f>IFERROR(IF(GCD(euler_n,A321)=1,1,0),0)</f>
        <v>0</v>
      </c>
      <c r="C321" s="12"/>
      <c r="G321" s="7"/>
      <c r="H321" s="7"/>
    </row>
    <row r="322" spans="1:8">
      <c r="A322">
        <f t="shared" si="5"/>
        <v>-297</v>
      </c>
      <c r="B322">
        <f>IFERROR(IF(GCD(euler_n,A322)=1,1,0),0)</f>
        <v>0</v>
      </c>
      <c r="C322" s="12"/>
      <c r="G322" s="7"/>
      <c r="H322" s="7"/>
    </row>
    <row r="323" spans="1:8">
      <c r="A323">
        <f t="shared" si="5"/>
        <v>-298</v>
      </c>
      <c r="B323">
        <f>IFERROR(IF(GCD(euler_n,A323)=1,1,0),0)</f>
        <v>0</v>
      </c>
      <c r="C323" s="12"/>
      <c r="G323" s="7"/>
      <c r="H323" s="7"/>
    </row>
    <row r="324" spans="1:8">
      <c r="A324">
        <f t="shared" si="5"/>
        <v>-299</v>
      </c>
      <c r="B324">
        <f>IFERROR(IF(GCD(euler_n,A324)=1,1,0),0)</f>
        <v>0</v>
      </c>
      <c r="C324" s="12"/>
      <c r="G324" s="7"/>
      <c r="H324" s="7"/>
    </row>
    <row r="325" spans="1:8">
      <c r="A325">
        <f t="shared" si="5"/>
        <v>-300</v>
      </c>
      <c r="B325">
        <f>IFERROR(IF(GCD(euler_n,A325)=1,1,0),0)</f>
        <v>0</v>
      </c>
      <c r="C325" s="12"/>
      <c r="G325" s="7"/>
      <c r="H325" s="7"/>
    </row>
    <row r="326" spans="1:8">
      <c r="A326">
        <f t="shared" si="5"/>
        <v>-301</v>
      </c>
      <c r="B326">
        <f>IFERROR(IF(GCD(euler_n,A326)=1,1,0),0)</f>
        <v>0</v>
      </c>
      <c r="C326" s="12"/>
      <c r="G326" s="7"/>
      <c r="H326" s="7"/>
    </row>
    <row r="327" spans="1:8">
      <c r="A327">
        <f t="shared" si="5"/>
        <v>-302</v>
      </c>
      <c r="B327">
        <f>IFERROR(IF(GCD(euler_n,A327)=1,1,0),0)</f>
        <v>0</v>
      </c>
      <c r="C327" s="12"/>
      <c r="G327" s="7"/>
      <c r="H327" s="7"/>
    </row>
    <row r="328" spans="1:8">
      <c r="A328">
        <f t="shared" si="5"/>
        <v>-303</v>
      </c>
      <c r="B328">
        <f>IFERROR(IF(GCD(euler_n,A328)=1,1,0),0)</f>
        <v>0</v>
      </c>
      <c r="C328" s="12"/>
      <c r="G328" s="7"/>
      <c r="H328" s="7"/>
    </row>
    <row r="329" spans="1:8">
      <c r="A329">
        <f t="shared" si="5"/>
        <v>-304</v>
      </c>
      <c r="B329">
        <f>IFERROR(IF(GCD(euler_n,A329)=1,1,0),0)</f>
        <v>0</v>
      </c>
      <c r="C329" s="12"/>
      <c r="G329" s="7"/>
      <c r="H329" s="7"/>
    </row>
    <row r="330" spans="1:8">
      <c r="A330">
        <f t="shared" si="5"/>
        <v>-305</v>
      </c>
      <c r="B330">
        <f>IFERROR(IF(GCD(euler_n,A330)=1,1,0),0)</f>
        <v>0</v>
      </c>
      <c r="C330" s="12"/>
      <c r="G330" s="7"/>
      <c r="H330" s="7"/>
    </row>
    <row r="331" spans="1:8">
      <c r="A331">
        <f t="shared" si="5"/>
        <v>-306</v>
      </c>
      <c r="B331">
        <f>IFERROR(IF(GCD(euler_n,A331)=1,1,0),0)</f>
        <v>0</v>
      </c>
      <c r="C331" s="12"/>
      <c r="G331" s="7"/>
      <c r="H331" s="7"/>
    </row>
    <row r="332" spans="1:8">
      <c r="A332">
        <f t="shared" si="5"/>
        <v>-307</v>
      </c>
      <c r="B332">
        <f>IFERROR(IF(GCD(euler_n,A332)=1,1,0),0)</f>
        <v>0</v>
      </c>
      <c r="C332" s="12"/>
      <c r="G332" s="7"/>
      <c r="H332" s="7"/>
    </row>
    <row r="333" spans="1:8">
      <c r="A333">
        <f t="shared" si="5"/>
        <v>-308</v>
      </c>
      <c r="B333">
        <f>IFERROR(IF(GCD(euler_n,A333)=1,1,0),0)</f>
        <v>0</v>
      </c>
      <c r="C333" s="12"/>
      <c r="G333" s="7"/>
      <c r="H333" s="7"/>
    </row>
    <row r="334" spans="1:8">
      <c r="A334">
        <f t="shared" si="5"/>
        <v>-309</v>
      </c>
      <c r="B334">
        <f>IFERROR(IF(GCD(euler_n,A334)=1,1,0),0)</f>
        <v>0</v>
      </c>
      <c r="C334" s="12"/>
      <c r="G334" s="7"/>
      <c r="H334" s="7"/>
    </row>
    <row r="335" spans="1:8">
      <c r="A335">
        <f t="shared" si="5"/>
        <v>-310</v>
      </c>
      <c r="B335">
        <f>IFERROR(IF(GCD(euler_n,A335)=1,1,0),0)</f>
        <v>0</v>
      </c>
      <c r="C335" s="12"/>
      <c r="G335" s="7"/>
      <c r="H335" s="7"/>
    </row>
    <row r="336" spans="1:8">
      <c r="A336">
        <f t="shared" si="5"/>
        <v>-311</v>
      </c>
      <c r="B336">
        <f>IFERROR(IF(GCD(euler_n,A336)=1,1,0),0)</f>
        <v>0</v>
      </c>
      <c r="C336" s="12"/>
      <c r="G336" s="7"/>
      <c r="H336" s="7"/>
    </row>
    <row r="337" spans="1:8">
      <c r="A337">
        <f t="shared" si="5"/>
        <v>-312</v>
      </c>
      <c r="B337">
        <f>IFERROR(IF(GCD(euler_n,A337)=1,1,0),0)</f>
        <v>0</v>
      </c>
      <c r="C337" s="12"/>
      <c r="G337" s="7"/>
      <c r="H337" s="7"/>
    </row>
    <row r="338" spans="1:8">
      <c r="A338">
        <f t="shared" si="5"/>
        <v>-313</v>
      </c>
      <c r="B338">
        <f>IFERROR(IF(GCD(euler_n,A338)=1,1,0),0)</f>
        <v>0</v>
      </c>
      <c r="C338" s="12"/>
      <c r="G338" s="7"/>
      <c r="H338" s="7"/>
    </row>
    <row r="339" spans="1:8">
      <c r="A339">
        <f t="shared" si="5"/>
        <v>-314</v>
      </c>
      <c r="B339">
        <f>IFERROR(IF(GCD(euler_n,A339)=1,1,0),0)</f>
        <v>0</v>
      </c>
      <c r="C339" s="12"/>
      <c r="G339" s="7"/>
      <c r="H339" s="7"/>
    </row>
    <row r="340" spans="1:8">
      <c r="A340">
        <f t="shared" si="5"/>
        <v>-315</v>
      </c>
      <c r="B340">
        <f>IFERROR(IF(GCD(euler_n,A340)=1,1,0),0)</f>
        <v>0</v>
      </c>
      <c r="C340" s="12"/>
      <c r="G340" s="7"/>
      <c r="H340" s="7"/>
    </row>
    <row r="341" spans="1:8">
      <c r="A341">
        <f t="shared" si="5"/>
        <v>-316</v>
      </c>
      <c r="B341">
        <f>IFERROR(IF(GCD(euler_n,A341)=1,1,0),0)</f>
        <v>0</v>
      </c>
      <c r="C341" s="12"/>
      <c r="G341" s="7"/>
      <c r="H341" s="7"/>
    </row>
    <row r="342" spans="1:8">
      <c r="A342">
        <f t="shared" si="5"/>
        <v>-317</v>
      </c>
      <c r="B342">
        <f>IFERROR(IF(GCD(euler_n,A342)=1,1,0),0)</f>
        <v>0</v>
      </c>
      <c r="C342" s="12"/>
      <c r="G342" s="7"/>
      <c r="H342" s="7"/>
    </row>
    <row r="343" spans="1:8">
      <c r="A343">
        <f t="shared" si="5"/>
        <v>-318</v>
      </c>
      <c r="B343">
        <f>IFERROR(IF(GCD(euler_n,A343)=1,1,0),0)</f>
        <v>0</v>
      </c>
      <c r="C343" s="12"/>
      <c r="G343" s="7"/>
      <c r="H343" s="7"/>
    </row>
    <row r="344" spans="1:8">
      <c r="A344">
        <f t="shared" si="5"/>
        <v>-319</v>
      </c>
      <c r="B344">
        <f>IFERROR(IF(GCD(euler_n,A344)=1,1,0),0)</f>
        <v>0</v>
      </c>
      <c r="C344" s="12"/>
      <c r="G344" s="7"/>
      <c r="H344" s="7"/>
    </row>
    <row r="345" spans="1:8">
      <c r="A345">
        <f t="shared" si="5"/>
        <v>-320</v>
      </c>
      <c r="B345">
        <f>IFERROR(IF(GCD(euler_n,A345)=1,1,0),0)</f>
        <v>0</v>
      </c>
      <c r="C345" s="12"/>
      <c r="G345" s="7"/>
      <c r="H345" s="7"/>
    </row>
    <row r="346" spans="1:8">
      <c r="A346">
        <f t="shared" si="5"/>
        <v>-321</v>
      </c>
      <c r="B346">
        <f>IFERROR(IF(GCD(euler_n,A346)=1,1,0),0)</f>
        <v>0</v>
      </c>
      <c r="C346" s="12"/>
      <c r="G346" s="7"/>
      <c r="H346" s="7"/>
    </row>
    <row r="347" spans="1:8">
      <c r="A347">
        <f t="shared" si="5"/>
        <v>-322</v>
      </c>
      <c r="B347">
        <f>IFERROR(IF(GCD(euler_n,A347)=1,1,0),0)</f>
        <v>0</v>
      </c>
      <c r="C347" s="12"/>
      <c r="G347" s="7"/>
      <c r="H347" s="7"/>
    </row>
    <row r="348" spans="1:8">
      <c r="A348">
        <f t="shared" si="5"/>
        <v>-323</v>
      </c>
      <c r="B348">
        <f>IFERROR(IF(GCD(euler_n,A348)=1,1,0),0)</f>
        <v>0</v>
      </c>
      <c r="C348" s="12"/>
      <c r="G348" s="7"/>
      <c r="H348" s="7"/>
    </row>
    <row r="349" spans="1:8">
      <c r="A349">
        <f t="shared" si="5"/>
        <v>-324</v>
      </c>
      <c r="B349">
        <f>IFERROR(IF(GCD(euler_n,A349)=1,1,0),0)</f>
        <v>0</v>
      </c>
      <c r="C349" s="12"/>
      <c r="G349" s="7"/>
      <c r="H349" s="7"/>
    </row>
    <row r="350" spans="1:8">
      <c r="A350">
        <f t="shared" si="5"/>
        <v>-325</v>
      </c>
      <c r="B350">
        <f>IFERROR(IF(GCD(euler_n,A350)=1,1,0),0)</f>
        <v>0</v>
      </c>
      <c r="C350" s="12"/>
      <c r="G350" s="7"/>
      <c r="H350" s="7"/>
    </row>
    <row r="351" spans="1:8">
      <c r="A351">
        <f t="shared" si="5"/>
        <v>-326</v>
      </c>
      <c r="B351">
        <f>IFERROR(IF(GCD(euler_n,A351)=1,1,0),0)</f>
        <v>0</v>
      </c>
      <c r="C351" s="12"/>
      <c r="G351" s="7"/>
      <c r="H351" s="7"/>
    </row>
    <row r="352" spans="1:8">
      <c r="A352">
        <f t="shared" si="5"/>
        <v>-327</v>
      </c>
      <c r="B352">
        <f>IFERROR(IF(GCD(euler_n,A352)=1,1,0),0)</f>
        <v>0</v>
      </c>
      <c r="C352" s="12"/>
      <c r="G352" s="7"/>
      <c r="H352" s="7"/>
    </row>
    <row r="353" spans="1:8">
      <c r="A353">
        <f t="shared" si="5"/>
        <v>-328</v>
      </c>
      <c r="B353">
        <f>IFERROR(IF(GCD(euler_n,A353)=1,1,0),0)</f>
        <v>0</v>
      </c>
      <c r="C353" s="12"/>
      <c r="G353" s="7"/>
      <c r="H353" s="7"/>
    </row>
    <row r="354" spans="1:8">
      <c r="A354">
        <f t="shared" si="5"/>
        <v>-329</v>
      </c>
      <c r="B354">
        <f>IFERROR(IF(GCD(euler_n,A354)=1,1,0),0)</f>
        <v>0</v>
      </c>
      <c r="C354" s="12"/>
      <c r="G354" s="7"/>
      <c r="H354" s="7"/>
    </row>
    <row r="355" spans="1:8">
      <c r="A355">
        <f t="shared" si="5"/>
        <v>-330</v>
      </c>
      <c r="B355">
        <f>IFERROR(IF(GCD(euler_n,A355)=1,1,0),0)</f>
        <v>0</v>
      </c>
      <c r="C355" s="12"/>
      <c r="G355" s="7"/>
      <c r="H355" s="7"/>
    </row>
    <row r="356" spans="1:8">
      <c r="A356">
        <f t="shared" ref="A356:A419" si="6">A355-1</f>
        <v>-331</v>
      </c>
      <c r="B356">
        <f>IFERROR(IF(GCD(euler_n,A356)=1,1,0),0)</f>
        <v>0</v>
      </c>
      <c r="C356" s="12"/>
      <c r="G356" s="7"/>
      <c r="H356" s="7"/>
    </row>
    <row r="357" spans="1:8">
      <c r="A357">
        <f t="shared" si="6"/>
        <v>-332</v>
      </c>
      <c r="B357">
        <f>IFERROR(IF(GCD(euler_n,A357)=1,1,0),0)</f>
        <v>0</v>
      </c>
      <c r="C357" s="12"/>
      <c r="G357" s="7"/>
      <c r="H357" s="7"/>
    </row>
    <row r="358" spans="1:8">
      <c r="A358">
        <f t="shared" si="6"/>
        <v>-333</v>
      </c>
      <c r="B358">
        <f>IFERROR(IF(GCD(euler_n,A358)=1,1,0),0)</f>
        <v>0</v>
      </c>
      <c r="C358" s="12"/>
      <c r="G358" s="7"/>
      <c r="H358" s="7"/>
    </row>
    <row r="359" spans="1:8">
      <c r="A359">
        <f t="shared" si="6"/>
        <v>-334</v>
      </c>
      <c r="B359">
        <f>IFERROR(IF(GCD(euler_n,A359)=1,1,0),0)</f>
        <v>0</v>
      </c>
      <c r="C359" s="12"/>
      <c r="G359" s="7"/>
      <c r="H359" s="7"/>
    </row>
    <row r="360" spans="1:8">
      <c r="A360">
        <f t="shared" si="6"/>
        <v>-335</v>
      </c>
      <c r="B360">
        <f>IFERROR(IF(GCD(euler_n,A360)=1,1,0),0)</f>
        <v>0</v>
      </c>
      <c r="C360" s="12"/>
      <c r="G360" s="7"/>
      <c r="H360" s="7"/>
    </row>
    <row r="361" spans="1:8">
      <c r="A361">
        <f t="shared" si="6"/>
        <v>-336</v>
      </c>
      <c r="B361">
        <f>IFERROR(IF(GCD(euler_n,A361)=1,1,0),0)</f>
        <v>0</v>
      </c>
      <c r="C361" s="12"/>
      <c r="G361" s="7"/>
      <c r="H361" s="7"/>
    </row>
    <row r="362" spans="1:8">
      <c r="A362">
        <f t="shared" si="6"/>
        <v>-337</v>
      </c>
      <c r="B362">
        <f>IFERROR(IF(GCD(euler_n,A362)=1,1,0),0)</f>
        <v>0</v>
      </c>
      <c r="C362" s="12"/>
      <c r="G362" s="7"/>
      <c r="H362" s="7"/>
    </row>
    <row r="363" spans="1:8">
      <c r="A363">
        <f t="shared" si="6"/>
        <v>-338</v>
      </c>
      <c r="B363">
        <f>IFERROR(IF(GCD(euler_n,A363)=1,1,0),0)</f>
        <v>0</v>
      </c>
      <c r="C363" s="12"/>
      <c r="G363" s="7"/>
      <c r="H363" s="7"/>
    </row>
    <row r="364" spans="1:8">
      <c r="A364">
        <f t="shared" si="6"/>
        <v>-339</v>
      </c>
      <c r="B364">
        <f>IFERROR(IF(GCD(euler_n,A364)=1,1,0),0)</f>
        <v>0</v>
      </c>
      <c r="C364" s="12"/>
      <c r="G364" s="7"/>
      <c r="H364" s="7"/>
    </row>
    <row r="365" spans="1:8">
      <c r="A365">
        <f t="shared" si="6"/>
        <v>-340</v>
      </c>
      <c r="B365">
        <f>IFERROR(IF(GCD(euler_n,A365)=1,1,0),0)</f>
        <v>0</v>
      </c>
      <c r="C365" s="12"/>
      <c r="G365" s="7"/>
      <c r="H365" s="7"/>
    </row>
    <row r="366" spans="1:8">
      <c r="A366">
        <f t="shared" si="6"/>
        <v>-341</v>
      </c>
      <c r="B366">
        <f>IFERROR(IF(GCD(euler_n,A366)=1,1,0),0)</f>
        <v>0</v>
      </c>
      <c r="C366" s="12"/>
      <c r="G366" s="7"/>
      <c r="H366" s="7"/>
    </row>
    <row r="367" spans="1:8">
      <c r="A367">
        <f t="shared" si="6"/>
        <v>-342</v>
      </c>
      <c r="B367">
        <f>IFERROR(IF(GCD(euler_n,A367)=1,1,0),0)</f>
        <v>0</v>
      </c>
      <c r="C367" s="12"/>
      <c r="G367" s="7"/>
      <c r="H367" s="7"/>
    </row>
    <row r="368" spans="1:8">
      <c r="A368">
        <f t="shared" si="6"/>
        <v>-343</v>
      </c>
      <c r="B368">
        <f>IFERROR(IF(GCD(euler_n,A368)=1,1,0),0)</f>
        <v>0</v>
      </c>
      <c r="C368" s="12"/>
      <c r="G368" s="7"/>
      <c r="H368" s="7"/>
    </row>
    <row r="369" spans="1:8">
      <c r="A369">
        <f t="shared" si="6"/>
        <v>-344</v>
      </c>
      <c r="B369">
        <f>IFERROR(IF(GCD(euler_n,A369)=1,1,0),0)</f>
        <v>0</v>
      </c>
      <c r="C369" s="12"/>
      <c r="G369" s="7"/>
      <c r="H369" s="7"/>
    </row>
    <row r="370" spans="1:8">
      <c r="A370">
        <f t="shared" si="6"/>
        <v>-345</v>
      </c>
      <c r="B370">
        <f>IFERROR(IF(GCD(euler_n,A370)=1,1,0),0)</f>
        <v>0</v>
      </c>
      <c r="C370" s="12"/>
      <c r="G370" s="7"/>
      <c r="H370" s="7"/>
    </row>
    <row r="371" spans="1:8">
      <c r="A371">
        <f t="shared" si="6"/>
        <v>-346</v>
      </c>
      <c r="B371">
        <f>IFERROR(IF(GCD(euler_n,A371)=1,1,0),0)</f>
        <v>0</v>
      </c>
      <c r="C371" s="12"/>
      <c r="G371" s="7"/>
      <c r="H371" s="7"/>
    </row>
    <row r="372" spans="1:8">
      <c r="A372">
        <f t="shared" si="6"/>
        <v>-347</v>
      </c>
      <c r="B372">
        <f>IFERROR(IF(GCD(euler_n,A372)=1,1,0),0)</f>
        <v>0</v>
      </c>
      <c r="C372" s="12"/>
      <c r="G372" s="7"/>
      <c r="H372" s="7"/>
    </row>
    <row r="373" spans="1:8">
      <c r="A373">
        <f t="shared" si="6"/>
        <v>-348</v>
      </c>
      <c r="B373">
        <f>IFERROR(IF(GCD(euler_n,A373)=1,1,0),0)</f>
        <v>0</v>
      </c>
      <c r="C373" s="12"/>
      <c r="G373" s="7"/>
      <c r="H373" s="7"/>
    </row>
    <row r="374" spans="1:8">
      <c r="A374">
        <f t="shared" si="6"/>
        <v>-349</v>
      </c>
      <c r="B374">
        <f>IFERROR(IF(GCD(euler_n,A374)=1,1,0),0)</f>
        <v>0</v>
      </c>
      <c r="C374" s="12"/>
      <c r="G374" s="7"/>
      <c r="H374" s="7"/>
    </row>
    <row r="375" spans="1:8">
      <c r="A375">
        <f t="shared" si="6"/>
        <v>-350</v>
      </c>
      <c r="B375">
        <f>IFERROR(IF(GCD(euler_n,A375)=1,1,0),0)</f>
        <v>0</v>
      </c>
      <c r="C375" s="12"/>
      <c r="G375" s="7"/>
      <c r="H375" s="7"/>
    </row>
    <row r="376" spans="1:8">
      <c r="A376">
        <f t="shared" si="6"/>
        <v>-351</v>
      </c>
      <c r="B376">
        <f>IFERROR(IF(GCD(euler_n,A376)=1,1,0),0)</f>
        <v>0</v>
      </c>
      <c r="C376" s="12"/>
      <c r="G376" s="7"/>
      <c r="H376" s="7"/>
    </row>
    <row r="377" spans="1:8">
      <c r="A377">
        <f t="shared" si="6"/>
        <v>-352</v>
      </c>
      <c r="B377">
        <f>IFERROR(IF(GCD(euler_n,A377)=1,1,0),0)</f>
        <v>0</v>
      </c>
      <c r="C377" s="12"/>
      <c r="G377" s="7"/>
      <c r="H377" s="7"/>
    </row>
    <row r="378" spans="1:8">
      <c r="A378">
        <f t="shared" si="6"/>
        <v>-353</v>
      </c>
      <c r="B378">
        <f>IFERROR(IF(GCD(euler_n,A378)=1,1,0),0)</f>
        <v>0</v>
      </c>
      <c r="C378" s="12"/>
      <c r="G378" s="7"/>
      <c r="H378" s="7"/>
    </row>
    <row r="379" spans="1:8">
      <c r="A379">
        <f t="shared" si="6"/>
        <v>-354</v>
      </c>
      <c r="B379">
        <f>IFERROR(IF(GCD(euler_n,A379)=1,1,0),0)</f>
        <v>0</v>
      </c>
      <c r="C379" s="12"/>
      <c r="G379" s="7"/>
      <c r="H379" s="7"/>
    </row>
    <row r="380" spans="1:8">
      <c r="A380">
        <f t="shared" si="6"/>
        <v>-355</v>
      </c>
      <c r="B380">
        <f>IFERROR(IF(GCD(euler_n,A380)=1,1,0),0)</f>
        <v>0</v>
      </c>
      <c r="C380" s="12"/>
      <c r="G380" s="7"/>
      <c r="H380" s="7"/>
    </row>
    <row r="381" spans="1:8">
      <c r="A381">
        <f t="shared" si="6"/>
        <v>-356</v>
      </c>
      <c r="B381">
        <f>IFERROR(IF(GCD(euler_n,A381)=1,1,0),0)</f>
        <v>0</v>
      </c>
      <c r="C381" s="12"/>
      <c r="G381" s="7"/>
      <c r="H381" s="7"/>
    </row>
    <row r="382" spans="1:8">
      <c r="A382">
        <f t="shared" si="6"/>
        <v>-357</v>
      </c>
      <c r="B382">
        <f>IFERROR(IF(GCD(euler_n,A382)=1,1,0),0)</f>
        <v>0</v>
      </c>
      <c r="C382" s="12"/>
      <c r="G382" s="7"/>
      <c r="H382" s="7"/>
    </row>
    <row r="383" spans="1:8">
      <c r="A383">
        <f t="shared" si="6"/>
        <v>-358</v>
      </c>
      <c r="B383">
        <f>IFERROR(IF(GCD(euler_n,A383)=1,1,0),0)</f>
        <v>0</v>
      </c>
      <c r="C383" s="12"/>
      <c r="G383" s="7"/>
      <c r="H383" s="7"/>
    </row>
    <row r="384" spans="1:8">
      <c r="A384">
        <f t="shared" si="6"/>
        <v>-359</v>
      </c>
      <c r="B384">
        <f>IFERROR(IF(GCD(euler_n,A384)=1,1,0),0)</f>
        <v>0</v>
      </c>
      <c r="C384" s="12"/>
      <c r="G384" s="7"/>
      <c r="H384" s="7"/>
    </row>
    <row r="385" spans="1:8">
      <c r="A385">
        <f t="shared" si="6"/>
        <v>-360</v>
      </c>
      <c r="B385">
        <f>IFERROR(IF(GCD(euler_n,A385)=1,1,0),0)</f>
        <v>0</v>
      </c>
      <c r="C385" s="12"/>
      <c r="G385" s="7"/>
      <c r="H385" s="7"/>
    </row>
    <row r="386" spans="1:8">
      <c r="A386">
        <f t="shared" si="6"/>
        <v>-361</v>
      </c>
      <c r="B386">
        <f>IFERROR(IF(GCD(euler_n,A386)=1,1,0),0)</f>
        <v>0</v>
      </c>
      <c r="C386" s="12"/>
      <c r="G386" s="7"/>
      <c r="H386" s="7"/>
    </row>
    <row r="387" spans="1:8">
      <c r="A387">
        <f t="shared" si="6"/>
        <v>-362</v>
      </c>
      <c r="B387">
        <f>IFERROR(IF(GCD(euler_n,A387)=1,1,0),0)</f>
        <v>0</v>
      </c>
      <c r="C387" s="12"/>
      <c r="G387" s="7"/>
      <c r="H387" s="7"/>
    </row>
    <row r="388" spans="1:8">
      <c r="A388">
        <f t="shared" si="6"/>
        <v>-363</v>
      </c>
      <c r="B388">
        <f>IFERROR(IF(GCD(euler_n,A388)=1,1,0),0)</f>
        <v>0</v>
      </c>
      <c r="C388" s="12"/>
      <c r="G388" s="7"/>
      <c r="H388" s="7"/>
    </row>
    <row r="389" spans="1:8">
      <c r="A389">
        <f t="shared" si="6"/>
        <v>-364</v>
      </c>
      <c r="B389">
        <f>IFERROR(IF(GCD(euler_n,A389)=1,1,0),0)</f>
        <v>0</v>
      </c>
      <c r="C389" s="12"/>
      <c r="G389" s="7"/>
      <c r="H389" s="7"/>
    </row>
    <row r="390" spans="1:8">
      <c r="A390">
        <f t="shared" si="6"/>
        <v>-365</v>
      </c>
      <c r="B390">
        <f>IFERROR(IF(GCD(euler_n,A390)=1,1,0),0)</f>
        <v>0</v>
      </c>
      <c r="C390" s="12"/>
      <c r="G390" s="7"/>
      <c r="H390" s="7"/>
    </row>
    <row r="391" spans="1:8">
      <c r="A391">
        <f t="shared" si="6"/>
        <v>-366</v>
      </c>
      <c r="B391">
        <f>IFERROR(IF(GCD(euler_n,A391)=1,1,0),0)</f>
        <v>0</v>
      </c>
      <c r="C391" s="12"/>
      <c r="G391" s="7"/>
      <c r="H391" s="7"/>
    </row>
    <row r="392" spans="1:8">
      <c r="A392">
        <f t="shared" si="6"/>
        <v>-367</v>
      </c>
      <c r="B392">
        <f>IFERROR(IF(GCD(euler_n,A392)=1,1,0),0)</f>
        <v>0</v>
      </c>
      <c r="C392" s="12"/>
      <c r="G392" s="7"/>
      <c r="H392" s="7"/>
    </row>
    <row r="393" spans="1:8">
      <c r="A393">
        <f t="shared" si="6"/>
        <v>-368</v>
      </c>
      <c r="B393">
        <f>IFERROR(IF(GCD(euler_n,A393)=1,1,0),0)</f>
        <v>0</v>
      </c>
      <c r="C393" s="12"/>
      <c r="G393" s="7"/>
      <c r="H393" s="7"/>
    </row>
    <row r="394" spans="1:8">
      <c r="A394">
        <f t="shared" si="6"/>
        <v>-369</v>
      </c>
      <c r="B394">
        <f>IFERROR(IF(GCD(euler_n,A394)=1,1,0),0)</f>
        <v>0</v>
      </c>
      <c r="C394" s="12"/>
      <c r="G394" s="7"/>
      <c r="H394" s="7"/>
    </row>
    <row r="395" spans="1:8">
      <c r="A395">
        <f t="shared" si="6"/>
        <v>-370</v>
      </c>
      <c r="B395">
        <f>IFERROR(IF(GCD(euler_n,A395)=1,1,0),0)</f>
        <v>0</v>
      </c>
      <c r="C395" s="12"/>
      <c r="G395" s="7"/>
      <c r="H395" s="7"/>
    </row>
    <row r="396" spans="1:8">
      <c r="A396">
        <f t="shared" si="6"/>
        <v>-371</v>
      </c>
      <c r="B396">
        <f>IFERROR(IF(GCD(euler_n,A396)=1,1,0),0)</f>
        <v>0</v>
      </c>
      <c r="C396" s="12"/>
      <c r="G396" s="7"/>
      <c r="H396" s="7"/>
    </row>
    <row r="397" spans="1:8">
      <c r="A397">
        <f t="shared" si="6"/>
        <v>-372</v>
      </c>
      <c r="B397">
        <f>IFERROR(IF(GCD(euler_n,A397)=1,1,0),0)</f>
        <v>0</v>
      </c>
      <c r="C397" s="12"/>
      <c r="G397" s="7"/>
      <c r="H397" s="7"/>
    </row>
    <row r="398" spans="1:8">
      <c r="A398">
        <f t="shared" si="6"/>
        <v>-373</v>
      </c>
      <c r="B398">
        <f>IFERROR(IF(GCD(euler_n,A398)=1,1,0),0)</f>
        <v>0</v>
      </c>
      <c r="C398" s="12"/>
      <c r="G398" s="7"/>
      <c r="H398" s="7"/>
    </row>
    <row r="399" spans="1:8">
      <c r="A399">
        <f t="shared" si="6"/>
        <v>-374</v>
      </c>
      <c r="B399">
        <f>IFERROR(IF(GCD(euler_n,A399)=1,1,0),0)</f>
        <v>0</v>
      </c>
      <c r="C399" s="12"/>
      <c r="G399" s="7"/>
      <c r="H399" s="7"/>
    </row>
    <row r="400" spans="1:8">
      <c r="A400">
        <f t="shared" si="6"/>
        <v>-375</v>
      </c>
      <c r="B400">
        <f>IFERROR(IF(GCD(euler_n,A400)=1,1,0),0)</f>
        <v>0</v>
      </c>
      <c r="C400" s="12"/>
      <c r="G400" s="7"/>
      <c r="H400" s="7"/>
    </row>
    <row r="401" spans="1:8">
      <c r="A401">
        <f t="shared" si="6"/>
        <v>-376</v>
      </c>
      <c r="B401">
        <f>IFERROR(IF(GCD(euler_n,A401)=1,1,0),0)</f>
        <v>0</v>
      </c>
      <c r="C401" s="12"/>
      <c r="G401" s="7"/>
      <c r="H401" s="7"/>
    </row>
    <row r="402" spans="1:8">
      <c r="A402">
        <f t="shared" si="6"/>
        <v>-377</v>
      </c>
      <c r="B402">
        <f>IFERROR(IF(GCD(euler_n,A402)=1,1,0),0)</f>
        <v>0</v>
      </c>
      <c r="C402" s="12"/>
      <c r="G402" s="7"/>
      <c r="H402" s="7"/>
    </row>
    <row r="403" spans="1:8">
      <c r="A403">
        <f t="shared" si="6"/>
        <v>-378</v>
      </c>
      <c r="B403">
        <f>IFERROR(IF(GCD(euler_n,A403)=1,1,0),0)</f>
        <v>0</v>
      </c>
      <c r="C403" s="12"/>
      <c r="G403" s="7"/>
      <c r="H403" s="7"/>
    </row>
    <row r="404" spans="1:8">
      <c r="A404">
        <f t="shared" si="6"/>
        <v>-379</v>
      </c>
      <c r="B404">
        <f>IFERROR(IF(GCD(euler_n,A404)=1,1,0),0)</f>
        <v>0</v>
      </c>
      <c r="C404" s="12"/>
      <c r="G404" s="7"/>
      <c r="H404" s="7"/>
    </row>
    <row r="405" spans="1:8">
      <c r="A405">
        <f t="shared" si="6"/>
        <v>-380</v>
      </c>
      <c r="B405">
        <f>IFERROR(IF(GCD(euler_n,A405)=1,1,0),0)</f>
        <v>0</v>
      </c>
      <c r="C405" s="12"/>
      <c r="G405" s="7"/>
      <c r="H405" s="7"/>
    </row>
    <row r="406" spans="1:8">
      <c r="A406">
        <f t="shared" si="6"/>
        <v>-381</v>
      </c>
      <c r="B406">
        <f>IFERROR(IF(GCD(euler_n,A406)=1,1,0),0)</f>
        <v>0</v>
      </c>
      <c r="C406" s="12"/>
      <c r="G406" s="7"/>
      <c r="H406" s="7"/>
    </row>
    <row r="407" spans="1:8">
      <c r="A407">
        <f t="shared" si="6"/>
        <v>-382</v>
      </c>
      <c r="B407">
        <f>IFERROR(IF(GCD(euler_n,A407)=1,1,0),0)</f>
        <v>0</v>
      </c>
      <c r="C407" s="12"/>
      <c r="G407" s="7"/>
      <c r="H407" s="7"/>
    </row>
    <row r="408" spans="1:8">
      <c r="A408">
        <f t="shared" si="6"/>
        <v>-383</v>
      </c>
      <c r="B408">
        <f>IFERROR(IF(GCD(euler_n,A408)=1,1,0),0)</f>
        <v>0</v>
      </c>
      <c r="C408" s="12"/>
      <c r="G408" s="7"/>
      <c r="H408" s="7"/>
    </row>
    <row r="409" spans="1:8">
      <c r="A409">
        <f t="shared" si="6"/>
        <v>-384</v>
      </c>
      <c r="B409">
        <f>IFERROR(IF(GCD(euler_n,A409)=1,1,0),0)</f>
        <v>0</v>
      </c>
      <c r="C409" s="12"/>
      <c r="G409" s="7"/>
      <c r="H409" s="7"/>
    </row>
    <row r="410" spans="1:8">
      <c r="A410">
        <f t="shared" si="6"/>
        <v>-385</v>
      </c>
      <c r="B410">
        <f>IFERROR(IF(GCD(euler_n,A410)=1,1,0),0)</f>
        <v>0</v>
      </c>
      <c r="C410" s="12"/>
      <c r="G410" s="7"/>
      <c r="H410" s="7"/>
    </row>
    <row r="411" spans="1:8">
      <c r="A411">
        <f t="shared" si="6"/>
        <v>-386</v>
      </c>
      <c r="B411">
        <f>IFERROR(IF(GCD(euler_n,A411)=1,1,0),0)</f>
        <v>0</v>
      </c>
      <c r="C411" s="12"/>
      <c r="G411" s="7"/>
      <c r="H411" s="7"/>
    </row>
    <row r="412" spans="1:8">
      <c r="A412">
        <f t="shared" si="6"/>
        <v>-387</v>
      </c>
      <c r="B412">
        <f>IFERROR(IF(GCD(euler_n,A412)=1,1,0),0)</f>
        <v>0</v>
      </c>
      <c r="C412" s="12"/>
      <c r="G412" s="7"/>
      <c r="H412" s="7"/>
    </row>
    <row r="413" spans="1:8">
      <c r="A413">
        <f t="shared" si="6"/>
        <v>-388</v>
      </c>
      <c r="B413">
        <f>IFERROR(IF(GCD(euler_n,A413)=1,1,0),0)</f>
        <v>0</v>
      </c>
      <c r="C413" s="12"/>
      <c r="G413" s="7"/>
      <c r="H413" s="7"/>
    </row>
    <row r="414" spans="1:8">
      <c r="A414">
        <f t="shared" si="6"/>
        <v>-389</v>
      </c>
      <c r="B414">
        <f>IFERROR(IF(GCD(euler_n,A414)=1,1,0),0)</f>
        <v>0</v>
      </c>
      <c r="C414" s="12"/>
      <c r="G414" s="7"/>
      <c r="H414" s="7"/>
    </row>
    <row r="415" spans="1:8">
      <c r="A415">
        <f t="shared" si="6"/>
        <v>-390</v>
      </c>
      <c r="B415">
        <f>IFERROR(IF(GCD(euler_n,A415)=1,1,0),0)</f>
        <v>0</v>
      </c>
      <c r="C415" s="12"/>
      <c r="G415" s="7"/>
      <c r="H415" s="7"/>
    </row>
    <row r="416" spans="1:8">
      <c r="A416">
        <f t="shared" si="6"/>
        <v>-391</v>
      </c>
      <c r="B416">
        <f>IFERROR(IF(GCD(euler_n,A416)=1,1,0),0)</f>
        <v>0</v>
      </c>
      <c r="C416" s="12"/>
      <c r="G416" s="7"/>
      <c r="H416" s="7"/>
    </row>
    <row r="417" spans="1:8">
      <c r="A417">
        <f t="shared" si="6"/>
        <v>-392</v>
      </c>
      <c r="B417">
        <f>IFERROR(IF(GCD(euler_n,A417)=1,1,0),0)</f>
        <v>0</v>
      </c>
      <c r="C417" s="12"/>
      <c r="G417" s="7"/>
      <c r="H417" s="7"/>
    </row>
    <row r="418" spans="1:8">
      <c r="A418">
        <f t="shared" si="6"/>
        <v>-393</v>
      </c>
      <c r="B418">
        <f>IFERROR(IF(GCD(euler_n,A418)=1,1,0),0)</f>
        <v>0</v>
      </c>
      <c r="C418" s="12"/>
      <c r="G418" s="7"/>
      <c r="H418" s="7"/>
    </row>
    <row r="419" spans="1:8">
      <c r="A419">
        <f t="shared" si="6"/>
        <v>-394</v>
      </c>
      <c r="B419">
        <f>IFERROR(IF(GCD(euler_n,A419)=1,1,0),0)</f>
        <v>0</v>
      </c>
      <c r="C419" s="12"/>
      <c r="G419" s="7"/>
      <c r="H419" s="7"/>
    </row>
    <row r="420" spans="1:8">
      <c r="A420">
        <f t="shared" ref="A420:A483" si="7">A419-1</f>
        <v>-395</v>
      </c>
      <c r="B420">
        <f>IFERROR(IF(GCD(euler_n,A420)=1,1,0),0)</f>
        <v>0</v>
      </c>
      <c r="C420" s="12"/>
      <c r="G420" s="7"/>
      <c r="H420" s="7"/>
    </row>
    <row r="421" spans="1:8">
      <c r="A421">
        <f t="shared" si="7"/>
        <v>-396</v>
      </c>
      <c r="B421">
        <f>IFERROR(IF(GCD(euler_n,A421)=1,1,0),0)</f>
        <v>0</v>
      </c>
      <c r="C421" s="12"/>
      <c r="G421" s="7"/>
      <c r="H421" s="7"/>
    </row>
    <row r="422" spans="1:8">
      <c r="A422">
        <f t="shared" si="7"/>
        <v>-397</v>
      </c>
      <c r="B422">
        <f>IFERROR(IF(GCD(euler_n,A422)=1,1,0),0)</f>
        <v>0</v>
      </c>
      <c r="C422" s="12"/>
      <c r="G422" s="7"/>
      <c r="H422" s="7"/>
    </row>
    <row r="423" spans="1:8">
      <c r="A423">
        <f t="shared" si="7"/>
        <v>-398</v>
      </c>
      <c r="B423">
        <f>IFERROR(IF(GCD(euler_n,A423)=1,1,0),0)</f>
        <v>0</v>
      </c>
      <c r="C423" s="12"/>
      <c r="G423" s="7"/>
      <c r="H423" s="7"/>
    </row>
    <row r="424" spans="1:8">
      <c r="A424">
        <f t="shared" si="7"/>
        <v>-399</v>
      </c>
      <c r="B424">
        <f>IFERROR(IF(GCD(euler_n,A424)=1,1,0),0)</f>
        <v>0</v>
      </c>
      <c r="C424" s="12"/>
      <c r="G424" s="7"/>
      <c r="H424" s="7"/>
    </row>
    <row r="425" spans="1:8">
      <c r="A425">
        <f t="shared" si="7"/>
        <v>-400</v>
      </c>
      <c r="B425">
        <f>IFERROR(IF(GCD(euler_n,A425)=1,1,0),0)</f>
        <v>0</v>
      </c>
      <c r="C425" s="12"/>
      <c r="G425" s="7"/>
      <c r="H425" s="7"/>
    </row>
    <row r="426" spans="1:8">
      <c r="A426">
        <f t="shared" si="7"/>
        <v>-401</v>
      </c>
      <c r="B426">
        <f>IFERROR(IF(GCD(euler_n,A426)=1,1,0),0)</f>
        <v>0</v>
      </c>
      <c r="C426" s="12"/>
      <c r="G426" s="7"/>
      <c r="H426" s="7"/>
    </row>
    <row r="427" spans="1:8">
      <c r="A427">
        <f t="shared" si="7"/>
        <v>-402</v>
      </c>
      <c r="B427">
        <f>IFERROR(IF(GCD(euler_n,A427)=1,1,0),0)</f>
        <v>0</v>
      </c>
      <c r="C427" s="12"/>
      <c r="G427" s="7"/>
      <c r="H427" s="7"/>
    </row>
    <row r="428" spans="1:8">
      <c r="A428">
        <f t="shared" si="7"/>
        <v>-403</v>
      </c>
      <c r="B428">
        <f>IFERROR(IF(GCD(euler_n,A428)=1,1,0),0)</f>
        <v>0</v>
      </c>
      <c r="C428" s="12"/>
      <c r="G428" s="7"/>
      <c r="H428" s="7"/>
    </row>
    <row r="429" spans="1:8">
      <c r="A429">
        <f t="shared" si="7"/>
        <v>-404</v>
      </c>
      <c r="B429">
        <f>IFERROR(IF(GCD(euler_n,A429)=1,1,0),0)</f>
        <v>0</v>
      </c>
      <c r="C429" s="12"/>
      <c r="G429" s="7"/>
      <c r="H429" s="7"/>
    </row>
    <row r="430" spans="1:8">
      <c r="A430">
        <f t="shared" si="7"/>
        <v>-405</v>
      </c>
      <c r="B430">
        <f>IFERROR(IF(GCD(euler_n,A430)=1,1,0),0)</f>
        <v>0</v>
      </c>
      <c r="C430" s="12"/>
      <c r="G430" s="7"/>
      <c r="H430" s="7"/>
    </row>
    <row r="431" spans="1:8">
      <c r="A431">
        <f t="shared" si="7"/>
        <v>-406</v>
      </c>
      <c r="B431">
        <f>IFERROR(IF(GCD(euler_n,A431)=1,1,0),0)</f>
        <v>0</v>
      </c>
      <c r="C431" s="12"/>
      <c r="G431" s="7"/>
      <c r="H431" s="7"/>
    </row>
    <row r="432" spans="1:8">
      <c r="A432">
        <f t="shared" si="7"/>
        <v>-407</v>
      </c>
      <c r="B432">
        <f>IFERROR(IF(GCD(euler_n,A432)=1,1,0),0)</f>
        <v>0</v>
      </c>
      <c r="C432" s="12"/>
      <c r="G432" s="7"/>
      <c r="H432" s="7"/>
    </row>
    <row r="433" spans="1:8">
      <c r="A433">
        <f t="shared" si="7"/>
        <v>-408</v>
      </c>
      <c r="B433">
        <f>IFERROR(IF(GCD(euler_n,A433)=1,1,0),0)</f>
        <v>0</v>
      </c>
      <c r="C433" s="12"/>
      <c r="G433" s="7"/>
      <c r="H433" s="7"/>
    </row>
    <row r="434" spans="1:8">
      <c r="A434">
        <f t="shared" si="7"/>
        <v>-409</v>
      </c>
      <c r="B434">
        <f>IFERROR(IF(GCD(euler_n,A434)=1,1,0),0)</f>
        <v>0</v>
      </c>
      <c r="C434" s="12"/>
      <c r="G434" s="7"/>
      <c r="H434" s="7"/>
    </row>
    <row r="435" spans="1:8">
      <c r="A435">
        <f t="shared" si="7"/>
        <v>-410</v>
      </c>
      <c r="B435">
        <f>IFERROR(IF(GCD(euler_n,A435)=1,1,0),0)</f>
        <v>0</v>
      </c>
      <c r="C435" s="12"/>
      <c r="G435" s="7"/>
      <c r="H435" s="7"/>
    </row>
    <row r="436" spans="1:8">
      <c r="A436">
        <f t="shared" si="7"/>
        <v>-411</v>
      </c>
      <c r="B436">
        <f>IFERROR(IF(GCD(euler_n,A436)=1,1,0),0)</f>
        <v>0</v>
      </c>
      <c r="C436" s="12"/>
      <c r="G436" s="7"/>
      <c r="H436" s="7"/>
    </row>
    <row r="437" spans="1:8">
      <c r="A437">
        <f t="shared" si="7"/>
        <v>-412</v>
      </c>
      <c r="B437">
        <f>IFERROR(IF(GCD(euler_n,A437)=1,1,0),0)</f>
        <v>0</v>
      </c>
      <c r="C437" s="12"/>
      <c r="G437" s="7"/>
      <c r="H437" s="7"/>
    </row>
    <row r="438" spans="1:8">
      <c r="A438">
        <f t="shared" si="7"/>
        <v>-413</v>
      </c>
      <c r="B438">
        <f>IFERROR(IF(GCD(euler_n,A438)=1,1,0),0)</f>
        <v>0</v>
      </c>
      <c r="C438" s="12"/>
      <c r="G438" s="7"/>
      <c r="H438" s="7"/>
    </row>
    <row r="439" spans="1:8">
      <c r="A439">
        <f t="shared" si="7"/>
        <v>-414</v>
      </c>
      <c r="B439">
        <f>IFERROR(IF(GCD(euler_n,A439)=1,1,0),0)</f>
        <v>0</v>
      </c>
      <c r="C439" s="12"/>
      <c r="G439" s="7"/>
      <c r="H439" s="7"/>
    </row>
    <row r="440" spans="1:8">
      <c r="A440">
        <f t="shared" si="7"/>
        <v>-415</v>
      </c>
      <c r="B440">
        <f>IFERROR(IF(GCD(euler_n,A440)=1,1,0),0)</f>
        <v>0</v>
      </c>
      <c r="C440" s="12"/>
      <c r="G440" s="7"/>
      <c r="H440" s="7"/>
    </row>
    <row r="441" spans="1:8">
      <c r="A441">
        <f t="shared" si="7"/>
        <v>-416</v>
      </c>
      <c r="B441">
        <f>IFERROR(IF(GCD(euler_n,A441)=1,1,0),0)</f>
        <v>0</v>
      </c>
      <c r="C441" s="12"/>
      <c r="G441" s="7"/>
      <c r="H441" s="7"/>
    </row>
    <row r="442" spans="1:8">
      <c r="A442">
        <f t="shared" si="7"/>
        <v>-417</v>
      </c>
      <c r="B442">
        <f>IFERROR(IF(GCD(euler_n,A442)=1,1,0),0)</f>
        <v>0</v>
      </c>
      <c r="C442" s="12"/>
      <c r="G442" s="7"/>
      <c r="H442" s="7"/>
    </row>
    <row r="443" spans="1:8">
      <c r="A443">
        <f t="shared" si="7"/>
        <v>-418</v>
      </c>
      <c r="B443">
        <f>IFERROR(IF(GCD(euler_n,A443)=1,1,0),0)</f>
        <v>0</v>
      </c>
      <c r="C443" s="12"/>
      <c r="G443" s="7"/>
      <c r="H443" s="7"/>
    </row>
    <row r="444" spans="1:8">
      <c r="A444">
        <f t="shared" si="7"/>
        <v>-419</v>
      </c>
      <c r="B444">
        <f>IFERROR(IF(GCD(euler_n,A444)=1,1,0),0)</f>
        <v>0</v>
      </c>
      <c r="C444" s="12"/>
      <c r="G444" s="7"/>
      <c r="H444" s="7"/>
    </row>
    <row r="445" spans="1:8">
      <c r="A445">
        <f t="shared" si="7"/>
        <v>-420</v>
      </c>
      <c r="B445">
        <f>IFERROR(IF(GCD(euler_n,A445)=1,1,0),0)</f>
        <v>0</v>
      </c>
      <c r="C445" s="12"/>
      <c r="G445" s="7"/>
      <c r="H445" s="7"/>
    </row>
    <row r="446" spans="1:8">
      <c r="A446">
        <f t="shared" si="7"/>
        <v>-421</v>
      </c>
      <c r="B446">
        <f>IFERROR(IF(GCD(euler_n,A446)=1,1,0),0)</f>
        <v>0</v>
      </c>
      <c r="C446" s="12"/>
      <c r="G446" s="7"/>
      <c r="H446" s="7"/>
    </row>
    <row r="447" spans="1:8">
      <c r="A447">
        <f t="shared" si="7"/>
        <v>-422</v>
      </c>
      <c r="B447">
        <f>IFERROR(IF(GCD(euler_n,A447)=1,1,0),0)</f>
        <v>0</v>
      </c>
      <c r="C447" s="12"/>
      <c r="G447" s="7"/>
      <c r="H447" s="7"/>
    </row>
    <row r="448" spans="1:8">
      <c r="A448">
        <f t="shared" si="7"/>
        <v>-423</v>
      </c>
      <c r="B448">
        <f>IFERROR(IF(GCD(euler_n,A448)=1,1,0),0)</f>
        <v>0</v>
      </c>
      <c r="C448" s="12"/>
      <c r="G448" s="7"/>
      <c r="H448" s="7"/>
    </row>
    <row r="449" spans="1:8">
      <c r="A449">
        <f t="shared" si="7"/>
        <v>-424</v>
      </c>
      <c r="B449">
        <f>IFERROR(IF(GCD(euler_n,A449)=1,1,0),0)</f>
        <v>0</v>
      </c>
      <c r="C449" s="12"/>
      <c r="G449" s="7"/>
      <c r="H449" s="7"/>
    </row>
    <row r="450" spans="1:8">
      <c r="A450">
        <f t="shared" si="7"/>
        <v>-425</v>
      </c>
      <c r="B450">
        <f>IFERROR(IF(GCD(euler_n,A450)=1,1,0),0)</f>
        <v>0</v>
      </c>
      <c r="C450" s="12"/>
      <c r="G450" s="7"/>
      <c r="H450" s="7"/>
    </row>
    <row r="451" spans="1:8">
      <c r="A451">
        <f t="shared" si="7"/>
        <v>-426</v>
      </c>
      <c r="B451">
        <f>IFERROR(IF(GCD(euler_n,A451)=1,1,0),0)</f>
        <v>0</v>
      </c>
      <c r="C451" s="12"/>
      <c r="G451" s="7"/>
      <c r="H451" s="7"/>
    </row>
    <row r="452" spans="1:8">
      <c r="A452">
        <f t="shared" si="7"/>
        <v>-427</v>
      </c>
      <c r="B452">
        <f>IFERROR(IF(GCD(euler_n,A452)=1,1,0),0)</f>
        <v>0</v>
      </c>
      <c r="C452" s="12"/>
      <c r="G452" s="7"/>
      <c r="H452" s="7"/>
    </row>
    <row r="453" spans="1:8">
      <c r="A453">
        <f t="shared" si="7"/>
        <v>-428</v>
      </c>
      <c r="B453">
        <f>IFERROR(IF(GCD(euler_n,A453)=1,1,0),0)</f>
        <v>0</v>
      </c>
      <c r="C453" s="12"/>
      <c r="G453" s="7"/>
      <c r="H453" s="7"/>
    </row>
    <row r="454" spans="1:8">
      <c r="A454">
        <f t="shared" si="7"/>
        <v>-429</v>
      </c>
      <c r="B454">
        <f>IFERROR(IF(GCD(euler_n,A454)=1,1,0),0)</f>
        <v>0</v>
      </c>
      <c r="C454" s="12"/>
      <c r="G454" s="7"/>
      <c r="H454" s="7"/>
    </row>
    <row r="455" spans="1:8">
      <c r="A455">
        <f t="shared" si="7"/>
        <v>-430</v>
      </c>
      <c r="B455">
        <f>IFERROR(IF(GCD(euler_n,A455)=1,1,0),0)</f>
        <v>0</v>
      </c>
      <c r="C455" s="12"/>
      <c r="G455" s="7"/>
      <c r="H455" s="7"/>
    </row>
    <row r="456" spans="1:8">
      <c r="A456">
        <f t="shared" si="7"/>
        <v>-431</v>
      </c>
      <c r="B456">
        <f>IFERROR(IF(GCD(euler_n,A456)=1,1,0),0)</f>
        <v>0</v>
      </c>
      <c r="C456" s="12"/>
      <c r="G456" s="7"/>
      <c r="H456" s="7"/>
    </row>
    <row r="457" spans="1:8">
      <c r="A457">
        <f t="shared" si="7"/>
        <v>-432</v>
      </c>
      <c r="B457">
        <f>IFERROR(IF(GCD(euler_n,A457)=1,1,0),0)</f>
        <v>0</v>
      </c>
      <c r="C457" s="12"/>
      <c r="G457" s="7"/>
      <c r="H457" s="7"/>
    </row>
    <row r="458" spans="1:8">
      <c r="A458">
        <f t="shared" si="7"/>
        <v>-433</v>
      </c>
      <c r="B458">
        <f>IFERROR(IF(GCD(euler_n,A458)=1,1,0),0)</f>
        <v>0</v>
      </c>
      <c r="C458" s="12"/>
      <c r="G458" s="7"/>
      <c r="H458" s="7"/>
    </row>
    <row r="459" spans="1:8">
      <c r="A459">
        <f t="shared" si="7"/>
        <v>-434</v>
      </c>
      <c r="B459">
        <f>IFERROR(IF(GCD(euler_n,A459)=1,1,0),0)</f>
        <v>0</v>
      </c>
      <c r="C459" s="12"/>
      <c r="G459" s="7"/>
      <c r="H459" s="7"/>
    </row>
    <row r="460" spans="1:8">
      <c r="A460">
        <f t="shared" si="7"/>
        <v>-435</v>
      </c>
      <c r="B460">
        <f>IFERROR(IF(GCD(euler_n,A460)=1,1,0),0)</f>
        <v>0</v>
      </c>
      <c r="C460" s="12"/>
      <c r="G460" s="7"/>
      <c r="H460" s="7"/>
    </row>
    <row r="461" spans="1:8">
      <c r="A461">
        <f t="shared" si="7"/>
        <v>-436</v>
      </c>
      <c r="B461">
        <f>IFERROR(IF(GCD(euler_n,A461)=1,1,0),0)</f>
        <v>0</v>
      </c>
      <c r="C461" s="12"/>
      <c r="G461" s="7"/>
      <c r="H461" s="7"/>
    </row>
    <row r="462" spans="1:8">
      <c r="A462">
        <f t="shared" si="7"/>
        <v>-437</v>
      </c>
      <c r="B462">
        <f>IFERROR(IF(GCD(euler_n,A462)=1,1,0),0)</f>
        <v>0</v>
      </c>
      <c r="C462" s="12"/>
      <c r="G462" s="7"/>
      <c r="H462" s="7"/>
    </row>
    <row r="463" spans="1:8">
      <c r="A463">
        <f t="shared" si="7"/>
        <v>-438</v>
      </c>
      <c r="B463">
        <f>IFERROR(IF(GCD(euler_n,A463)=1,1,0),0)</f>
        <v>0</v>
      </c>
      <c r="C463" s="12"/>
      <c r="G463" s="7"/>
      <c r="H463" s="7"/>
    </row>
    <row r="464" spans="1:8">
      <c r="A464">
        <f t="shared" si="7"/>
        <v>-439</v>
      </c>
      <c r="B464">
        <f>IFERROR(IF(GCD(euler_n,A464)=1,1,0),0)</f>
        <v>0</v>
      </c>
      <c r="C464" s="12"/>
      <c r="G464" s="7"/>
      <c r="H464" s="7"/>
    </row>
    <row r="465" spans="1:8">
      <c r="A465">
        <f t="shared" si="7"/>
        <v>-440</v>
      </c>
      <c r="B465">
        <f>IFERROR(IF(GCD(euler_n,A465)=1,1,0),0)</f>
        <v>0</v>
      </c>
      <c r="C465" s="12"/>
      <c r="G465" s="7"/>
      <c r="H465" s="7"/>
    </row>
    <row r="466" spans="1:8">
      <c r="A466">
        <f t="shared" si="7"/>
        <v>-441</v>
      </c>
      <c r="B466">
        <f>IFERROR(IF(GCD(euler_n,A466)=1,1,0),0)</f>
        <v>0</v>
      </c>
      <c r="C466" s="12"/>
      <c r="G466" s="7"/>
      <c r="H466" s="7"/>
    </row>
    <row r="467" spans="1:8">
      <c r="A467">
        <f t="shared" si="7"/>
        <v>-442</v>
      </c>
      <c r="B467">
        <f>IFERROR(IF(GCD(euler_n,A467)=1,1,0),0)</f>
        <v>0</v>
      </c>
      <c r="C467" s="12"/>
      <c r="G467" s="7"/>
      <c r="H467" s="7"/>
    </row>
    <row r="468" spans="1:8">
      <c r="A468">
        <f t="shared" si="7"/>
        <v>-443</v>
      </c>
      <c r="B468">
        <f>IFERROR(IF(GCD(euler_n,A468)=1,1,0),0)</f>
        <v>0</v>
      </c>
      <c r="C468" s="12"/>
      <c r="G468" s="7"/>
      <c r="H468" s="7"/>
    </row>
    <row r="469" spans="1:8">
      <c r="A469">
        <f t="shared" si="7"/>
        <v>-444</v>
      </c>
      <c r="B469">
        <f>IFERROR(IF(GCD(euler_n,A469)=1,1,0),0)</f>
        <v>0</v>
      </c>
      <c r="C469" s="12"/>
      <c r="G469" s="7"/>
      <c r="H469" s="7"/>
    </row>
    <row r="470" spans="1:8">
      <c r="A470">
        <f t="shared" si="7"/>
        <v>-445</v>
      </c>
      <c r="B470">
        <f>IFERROR(IF(GCD(euler_n,A470)=1,1,0),0)</f>
        <v>0</v>
      </c>
      <c r="C470" s="12"/>
      <c r="G470" s="7"/>
      <c r="H470" s="7"/>
    </row>
    <row r="471" spans="1:8">
      <c r="A471">
        <f t="shared" si="7"/>
        <v>-446</v>
      </c>
      <c r="B471">
        <f>IFERROR(IF(GCD(euler_n,A471)=1,1,0),0)</f>
        <v>0</v>
      </c>
      <c r="C471" s="12"/>
      <c r="G471" s="7"/>
      <c r="H471" s="7"/>
    </row>
    <row r="472" spans="1:8">
      <c r="A472">
        <f t="shared" si="7"/>
        <v>-447</v>
      </c>
      <c r="B472">
        <f>IFERROR(IF(GCD(euler_n,A472)=1,1,0),0)</f>
        <v>0</v>
      </c>
      <c r="C472" s="12"/>
      <c r="G472" s="7"/>
      <c r="H472" s="7"/>
    </row>
    <row r="473" spans="1:8">
      <c r="A473">
        <f t="shared" si="7"/>
        <v>-448</v>
      </c>
      <c r="B473">
        <f>IFERROR(IF(GCD(euler_n,A473)=1,1,0),0)</f>
        <v>0</v>
      </c>
      <c r="C473" s="12"/>
      <c r="G473" s="7"/>
      <c r="H473" s="7"/>
    </row>
    <row r="474" spans="1:8">
      <c r="A474">
        <f t="shared" si="7"/>
        <v>-449</v>
      </c>
      <c r="B474">
        <f>IFERROR(IF(GCD(euler_n,A474)=1,1,0),0)</f>
        <v>0</v>
      </c>
      <c r="C474" s="12"/>
      <c r="G474" s="7"/>
      <c r="H474" s="7"/>
    </row>
    <row r="475" spans="1:8">
      <c r="A475">
        <f t="shared" si="7"/>
        <v>-450</v>
      </c>
      <c r="B475">
        <f>IFERROR(IF(GCD(euler_n,A475)=1,1,0),0)</f>
        <v>0</v>
      </c>
      <c r="C475" s="12"/>
      <c r="G475" s="7"/>
      <c r="H475" s="7"/>
    </row>
    <row r="476" spans="1:8">
      <c r="A476">
        <f t="shared" si="7"/>
        <v>-451</v>
      </c>
      <c r="B476">
        <f>IFERROR(IF(GCD(euler_n,A476)=1,1,0),0)</f>
        <v>0</v>
      </c>
      <c r="C476" s="12"/>
      <c r="G476" s="7"/>
      <c r="H476" s="7"/>
    </row>
    <row r="477" spans="1:8">
      <c r="A477">
        <f t="shared" si="7"/>
        <v>-452</v>
      </c>
      <c r="B477">
        <f>IFERROR(IF(GCD(euler_n,A477)=1,1,0),0)</f>
        <v>0</v>
      </c>
      <c r="C477" s="12"/>
      <c r="G477" s="7"/>
      <c r="H477" s="7"/>
    </row>
    <row r="478" spans="1:8">
      <c r="A478">
        <f t="shared" si="7"/>
        <v>-453</v>
      </c>
      <c r="B478">
        <f>IFERROR(IF(GCD(euler_n,A478)=1,1,0),0)</f>
        <v>0</v>
      </c>
      <c r="C478" s="12"/>
      <c r="G478" s="7"/>
      <c r="H478" s="7"/>
    </row>
    <row r="479" spans="1:8">
      <c r="A479">
        <f t="shared" si="7"/>
        <v>-454</v>
      </c>
      <c r="B479">
        <f>IFERROR(IF(GCD(euler_n,A479)=1,1,0),0)</f>
        <v>0</v>
      </c>
      <c r="C479" s="12"/>
      <c r="G479" s="7"/>
      <c r="H479" s="7"/>
    </row>
    <row r="480" spans="1:8">
      <c r="A480">
        <f t="shared" si="7"/>
        <v>-455</v>
      </c>
      <c r="B480">
        <f>IFERROR(IF(GCD(euler_n,A480)=1,1,0),0)</f>
        <v>0</v>
      </c>
      <c r="C480" s="12"/>
      <c r="G480" s="7"/>
      <c r="H480" s="7"/>
    </row>
    <row r="481" spans="1:8">
      <c r="A481">
        <f t="shared" si="7"/>
        <v>-456</v>
      </c>
      <c r="B481">
        <f>IFERROR(IF(GCD(euler_n,A481)=1,1,0),0)</f>
        <v>0</v>
      </c>
      <c r="C481" s="12"/>
      <c r="G481" s="7"/>
      <c r="H481" s="7"/>
    </row>
    <row r="482" spans="1:8">
      <c r="A482">
        <f t="shared" si="7"/>
        <v>-457</v>
      </c>
      <c r="B482">
        <f>IFERROR(IF(GCD(euler_n,A482)=1,1,0),0)</f>
        <v>0</v>
      </c>
      <c r="C482" s="12"/>
      <c r="G482" s="7"/>
      <c r="H482" s="7"/>
    </row>
    <row r="483" spans="1:8">
      <c r="A483">
        <f t="shared" si="7"/>
        <v>-458</v>
      </c>
      <c r="B483">
        <f>IFERROR(IF(GCD(euler_n,A483)=1,1,0),0)</f>
        <v>0</v>
      </c>
      <c r="C483" s="12"/>
      <c r="G483" s="7"/>
      <c r="H483" s="7"/>
    </row>
    <row r="484" spans="1:8">
      <c r="A484">
        <f t="shared" ref="A484:A547" si="8">A483-1</f>
        <v>-459</v>
      </c>
      <c r="B484">
        <f>IFERROR(IF(GCD(euler_n,A484)=1,1,0),0)</f>
        <v>0</v>
      </c>
      <c r="C484" s="12"/>
      <c r="G484" s="7"/>
      <c r="H484" s="7"/>
    </row>
    <row r="485" spans="1:8">
      <c r="A485">
        <f t="shared" si="8"/>
        <v>-460</v>
      </c>
      <c r="B485">
        <f>IFERROR(IF(GCD(euler_n,A485)=1,1,0),0)</f>
        <v>0</v>
      </c>
      <c r="C485" s="12"/>
      <c r="G485" s="7"/>
      <c r="H485" s="7"/>
    </row>
    <row r="486" spans="1:8">
      <c r="A486">
        <f t="shared" si="8"/>
        <v>-461</v>
      </c>
      <c r="B486">
        <f>IFERROR(IF(GCD(euler_n,A486)=1,1,0),0)</f>
        <v>0</v>
      </c>
      <c r="C486" s="12"/>
      <c r="G486" s="7"/>
      <c r="H486" s="7"/>
    </row>
    <row r="487" spans="1:8">
      <c r="A487">
        <f t="shared" si="8"/>
        <v>-462</v>
      </c>
      <c r="B487">
        <f>IFERROR(IF(GCD(euler_n,A487)=1,1,0),0)</f>
        <v>0</v>
      </c>
      <c r="C487" s="12"/>
      <c r="G487" s="7"/>
      <c r="H487" s="7"/>
    </row>
    <row r="488" spans="1:8">
      <c r="A488">
        <f t="shared" si="8"/>
        <v>-463</v>
      </c>
      <c r="B488">
        <f>IFERROR(IF(GCD(euler_n,A488)=1,1,0),0)</f>
        <v>0</v>
      </c>
      <c r="C488" s="12"/>
      <c r="G488" s="7"/>
      <c r="H488" s="7"/>
    </row>
    <row r="489" spans="1:8">
      <c r="A489">
        <f t="shared" si="8"/>
        <v>-464</v>
      </c>
      <c r="B489">
        <f>IFERROR(IF(GCD(euler_n,A489)=1,1,0),0)</f>
        <v>0</v>
      </c>
      <c r="C489" s="12"/>
      <c r="G489" s="7"/>
      <c r="H489" s="7"/>
    </row>
    <row r="490" spans="1:8">
      <c r="A490">
        <f t="shared" si="8"/>
        <v>-465</v>
      </c>
      <c r="B490">
        <f>IFERROR(IF(GCD(euler_n,A490)=1,1,0),0)</f>
        <v>0</v>
      </c>
      <c r="C490" s="12"/>
      <c r="G490" s="7"/>
      <c r="H490" s="7"/>
    </row>
    <row r="491" spans="1:8">
      <c r="A491">
        <f t="shared" si="8"/>
        <v>-466</v>
      </c>
      <c r="B491">
        <f>IFERROR(IF(GCD(euler_n,A491)=1,1,0),0)</f>
        <v>0</v>
      </c>
      <c r="C491" s="12"/>
      <c r="G491" s="7"/>
      <c r="H491" s="7"/>
    </row>
    <row r="492" spans="1:8">
      <c r="A492">
        <f t="shared" si="8"/>
        <v>-467</v>
      </c>
      <c r="B492">
        <f>IFERROR(IF(GCD(euler_n,A492)=1,1,0),0)</f>
        <v>0</v>
      </c>
      <c r="C492" s="12"/>
      <c r="G492" s="7"/>
      <c r="H492" s="7"/>
    </row>
    <row r="493" spans="1:8">
      <c r="A493">
        <f t="shared" si="8"/>
        <v>-468</v>
      </c>
      <c r="B493">
        <f>IFERROR(IF(GCD(euler_n,A493)=1,1,0),0)</f>
        <v>0</v>
      </c>
      <c r="C493" s="12"/>
      <c r="G493" s="7"/>
      <c r="H493" s="7"/>
    </row>
    <row r="494" spans="1:8">
      <c r="A494">
        <f t="shared" si="8"/>
        <v>-469</v>
      </c>
      <c r="B494">
        <f>IFERROR(IF(GCD(euler_n,A494)=1,1,0),0)</f>
        <v>0</v>
      </c>
      <c r="C494" s="12"/>
      <c r="G494" s="7"/>
      <c r="H494" s="7"/>
    </row>
    <row r="495" spans="1:8">
      <c r="A495">
        <f t="shared" si="8"/>
        <v>-470</v>
      </c>
      <c r="B495">
        <f>IFERROR(IF(GCD(euler_n,A495)=1,1,0),0)</f>
        <v>0</v>
      </c>
      <c r="C495" s="12"/>
      <c r="G495" s="7"/>
      <c r="H495" s="7"/>
    </row>
    <row r="496" spans="1:8">
      <c r="A496">
        <f t="shared" si="8"/>
        <v>-471</v>
      </c>
      <c r="B496">
        <f>IFERROR(IF(GCD(euler_n,A496)=1,1,0),0)</f>
        <v>0</v>
      </c>
      <c r="C496" s="12"/>
      <c r="G496" s="7"/>
      <c r="H496" s="7"/>
    </row>
    <row r="497" spans="1:8">
      <c r="A497">
        <f t="shared" si="8"/>
        <v>-472</v>
      </c>
      <c r="B497">
        <f>IFERROR(IF(GCD(euler_n,A497)=1,1,0),0)</f>
        <v>0</v>
      </c>
      <c r="C497" s="12"/>
      <c r="G497" s="7"/>
      <c r="H497" s="7"/>
    </row>
    <row r="498" spans="1:8">
      <c r="A498">
        <f t="shared" si="8"/>
        <v>-473</v>
      </c>
      <c r="B498">
        <f>IFERROR(IF(GCD(euler_n,A498)=1,1,0),0)</f>
        <v>0</v>
      </c>
      <c r="C498" s="12"/>
      <c r="G498" s="7"/>
      <c r="H498" s="7"/>
    </row>
    <row r="499" spans="1:8">
      <c r="A499">
        <f t="shared" si="8"/>
        <v>-474</v>
      </c>
      <c r="B499">
        <f>IFERROR(IF(GCD(euler_n,A499)=1,1,0),0)</f>
        <v>0</v>
      </c>
      <c r="C499" s="12"/>
      <c r="G499" s="7"/>
      <c r="H499" s="7"/>
    </row>
    <row r="500" spans="1:8">
      <c r="A500">
        <f t="shared" si="8"/>
        <v>-475</v>
      </c>
      <c r="B500">
        <f>IFERROR(IF(GCD(euler_n,A500)=1,1,0),0)</f>
        <v>0</v>
      </c>
      <c r="C500" s="12"/>
      <c r="G500" s="7"/>
      <c r="H500" s="7"/>
    </row>
    <row r="501" spans="1:8">
      <c r="A501">
        <f t="shared" si="8"/>
        <v>-476</v>
      </c>
      <c r="B501">
        <f>IFERROR(IF(GCD(euler_n,A501)=1,1,0),0)</f>
        <v>0</v>
      </c>
      <c r="C501" s="12"/>
      <c r="G501" s="7"/>
      <c r="H501" s="7"/>
    </row>
    <row r="502" spans="1:8">
      <c r="A502">
        <f t="shared" si="8"/>
        <v>-477</v>
      </c>
      <c r="B502">
        <f>IFERROR(IF(GCD(euler_n,A502)=1,1,0),0)</f>
        <v>0</v>
      </c>
      <c r="C502" s="12"/>
      <c r="G502" s="7"/>
      <c r="H502" s="7"/>
    </row>
    <row r="503" spans="1:8">
      <c r="A503">
        <f t="shared" si="8"/>
        <v>-478</v>
      </c>
      <c r="B503">
        <f>IFERROR(IF(GCD(euler_n,A503)=1,1,0),0)</f>
        <v>0</v>
      </c>
      <c r="C503" s="12"/>
      <c r="G503" s="7"/>
      <c r="H503" s="7"/>
    </row>
    <row r="504" spans="1:8">
      <c r="A504">
        <f t="shared" si="8"/>
        <v>-479</v>
      </c>
      <c r="B504">
        <f>IFERROR(IF(GCD(euler_n,A504)=1,1,0),0)</f>
        <v>0</v>
      </c>
      <c r="C504" s="12"/>
      <c r="G504" s="7"/>
      <c r="H504" s="7"/>
    </row>
    <row r="505" spans="1:8">
      <c r="A505">
        <f t="shared" si="8"/>
        <v>-480</v>
      </c>
      <c r="B505">
        <f>IFERROR(IF(GCD(euler_n,A505)=1,1,0),0)</f>
        <v>0</v>
      </c>
      <c r="C505" s="12"/>
      <c r="G505" s="7"/>
      <c r="H505" s="7"/>
    </row>
    <row r="506" spans="1:8">
      <c r="A506">
        <f t="shared" si="8"/>
        <v>-481</v>
      </c>
      <c r="B506">
        <f>IFERROR(IF(GCD(euler_n,A506)=1,1,0),0)</f>
        <v>0</v>
      </c>
      <c r="C506" s="12"/>
      <c r="G506" s="7"/>
      <c r="H506" s="7"/>
    </row>
    <row r="507" spans="1:8">
      <c r="A507">
        <f t="shared" si="8"/>
        <v>-482</v>
      </c>
      <c r="B507">
        <f>IFERROR(IF(GCD(euler_n,A507)=1,1,0),0)</f>
        <v>0</v>
      </c>
      <c r="C507" s="12"/>
      <c r="G507" s="7"/>
      <c r="H507" s="7"/>
    </row>
    <row r="508" spans="1:8">
      <c r="A508">
        <f t="shared" si="8"/>
        <v>-483</v>
      </c>
      <c r="B508">
        <f>IFERROR(IF(GCD(euler_n,A508)=1,1,0),0)</f>
        <v>0</v>
      </c>
      <c r="C508" s="12"/>
      <c r="G508" s="7"/>
      <c r="H508" s="7"/>
    </row>
    <row r="509" spans="1:8">
      <c r="A509">
        <f t="shared" si="8"/>
        <v>-484</v>
      </c>
      <c r="B509">
        <f>IFERROR(IF(GCD(euler_n,A509)=1,1,0),0)</f>
        <v>0</v>
      </c>
      <c r="C509" s="12"/>
      <c r="G509" s="7"/>
      <c r="H509" s="7"/>
    </row>
    <row r="510" spans="1:8">
      <c r="A510">
        <f t="shared" si="8"/>
        <v>-485</v>
      </c>
      <c r="B510">
        <f>IFERROR(IF(GCD(euler_n,A510)=1,1,0),0)</f>
        <v>0</v>
      </c>
      <c r="C510" s="12"/>
      <c r="G510" s="7"/>
      <c r="H510" s="7"/>
    </row>
    <row r="511" spans="1:8">
      <c r="A511">
        <f t="shared" si="8"/>
        <v>-486</v>
      </c>
      <c r="B511">
        <f>IFERROR(IF(GCD(euler_n,A511)=1,1,0),0)</f>
        <v>0</v>
      </c>
      <c r="C511" s="12"/>
      <c r="G511" s="7"/>
      <c r="H511" s="7"/>
    </row>
    <row r="512" spans="1:8">
      <c r="A512">
        <f t="shared" si="8"/>
        <v>-487</v>
      </c>
      <c r="B512">
        <f>IFERROR(IF(GCD(euler_n,A512)=1,1,0),0)</f>
        <v>0</v>
      </c>
      <c r="C512" s="12"/>
      <c r="G512" s="7"/>
      <c r="H512" s="7"/>
    </row>
    <row r="513" spans="1:8">
      <c r="A513">
        <f t="shared" si="8"/>
        <v>-488</v>
      </c>
      <c r="B513">
        <f>IFERROR(IF(GCD(euler_n,A513)=1,1,0),0)</f>
        <v>0</v>
      </c>
      <c r="C513" s="12"/>
      <c r="G513" s="7"/>
      <c r="H513" s="7"/>
    </row>
    <row r="514" spans="1:8">
      <c r="A514">
        <f t="shared" si="8"/>
        <v>-489</v>
      </c>
      <c r="B514">
        <f>IFERROR(IF(GCD(euler_n,A514)=1,1,0),0)</f>
        <v>0</v>
      </c>
      <c r="C514" s="12"/>
      <c r="G514" s="7"/>
      <c r="H514" s="7"/>
    </row>
    <row r="515" spans="1:8">
      <c r="A515">
        <f t="shared" si="8"/>
        <v>-490</v>
      </c>
      <c r="B515">
        <f>IFERROR(IF(GCD(euler_n,A515)=1,1,0),0)</f>
        <v>0</v>
      </c>
      <c r="C515" s="12"/>
      <c r="G515" s="7"/>
      <c r="H515" s="7"/>
    </row>
    <row r="516" spans="1:8">
      <c r="A516">
        <f t="shared" si="8"/>
        <v>-491</v>
      </c>
      <c r="B516">
        <f>IFERROR(IF(GCD(euler_n,A516)=1,1,0),0)</f>
        <v>0</v>
      </c>
      <c r="C516" s="12"/>
      <c r="G516" s="7"/>
      <c r="H516" s="7"/>
    </row>
    <row r="517" spans="1:8">
      <c r="A517">
        <f t="shared" si="8"/>
        <v>-492</v>
      </c>
      <c r="B517">
        <f>IFERROR(IF(GCD(euler_n,A517)=1,1,0),0)</f>
        <v>0</v>
      </c>
      <c r="C517" s="12"/>
      <c r="G517" s="7"/>
      <c r="H517" s="7"/>
    </row>
    <row r="518" spans="1:8">
      <c r="A518">
        <f t="shared" si="8"/>
        <v>-493</v>
      </c>
      <c r="B518">
        <f>IFERROR(IF(GCD(euler_n,A518)=1,1,0),0)</f>
        <v>0</v>
      </c>
      <c r="C518" s="12"/>
      <c r="G518" s="7"/>
      <c r="H518" s="7"/>
    </row>
    <row r="519" spans="1:8">
      <c r="A519">
        <f t="shared" si="8"/>
        <v>-494</v>
      </c>
      <c r="B519">
        <f>IFERROR(IF(GCD(euler_n,A519)=1,1,0),0)</f>
        <v>0</v>
      </c>
      <c r="C519" s="12"/>
      <c r="G519" s="7"/>
      <c r="H519" s="7"/>
    </row>
    <row r="520" spans="1:8">
      <c r="A520">
        <f t="shared" si="8"/>
        <v>-495</v>
      </c>
      <c r="B520">
        <f>IFERROR(IF(GCD(euler_n,A520)=1,1,0),0)</f>
        <v>0</v>
      </c>
      <c r="C520" s="12"/>
      <c r="G520" s="7"/>
      <c r="H520" s="7"/>
    </row>
    <row r="521" spans="1:8">
      <c r="A521">
        <f t="shared" si="8"/>
        <v>-496</v>
      </c>
      <c r="B521">
        <f>IFERROR(IF(GCD(euler_n,A521)=1,1,0),0)</f>
        <v>0</v>
      </c>
      <c r="C521" s="12"/>
      <c r="G521" s="7"/>
      <c r="H521" s="7"/>
    </row>
    <row r="522" spans="1:8">
      <c r="A522">
        <f t="shared" si="8"/>
        <v>-497</v>
      </c>
      <c r="B522">
        <f>IFERROR(IF(GCD(euler_n,A522)=1,1,0),0)</f>
        <v>0</v>
      </c>
      <c r="C522" s="12"/>
      <c r="G522" s="7"/>
      <c r="H522" s="7"/>
    </row>
    <row r="523" spans="1:8">
      <c r="A523">
        <f t="shared" si="8"/>
        <v>-498</v>
      </c>
      <c r="B523">
        <f>IFERROR(IF(GCD(euler_n,A523)=1,1,0),0)</f>
        <v>0</v>
      </c>
      <c r="C523" s="12"/>
      <c r="G523" s="7"/>
      <c r="H523" s="7"/>
    </row>
    <row r="524" spans="1:8">
      <c r="A524">
        <f t="shared" si="8"/>
        <v>-499</v>
      </c>
      <c r="B524">
        <f>IFERROR(IF(GCD(euler_n,A524)=1,1,0),0)</f>
        <v>0</v>
      </c>
      <c r="C524" s="12"/>
      <c r="G524" s="7"/>
      <c r="H524" s="7"/>
    </row>
    <row r="525" spans="1:8">
      <c r="A525">
        <f t="shared" si="8"/>
        <v>-500</v>
      </c>
      <c r="B525">
        <f>IFERROR(IF(GCD(euler_n,A525)=1,1,0),0)</f>
        <v>0</v>
      </c>
      <c r="C525" s="12"/>
      <c r="G525" s="7"/>
      <c r="H525" s="7"/>
    </row>
    <row r="526" spans="1:8">
      <c r="A526">
        <f t="shared" si="8"/>
        <v>-501</v>
      </c>
      <c r="B526">
        <f>IFERROR(IF(GCD(euler_n,A526)=1,1,0),0)</f>
        <v>0</v>
      </c>
      <c r="C526" s="12"/>
      <c r="G526" s="7"/>
      <c r="H526" s="7"/>
    </row>
    <row r="527" spans="1:8">
      <c r="A527">
        <f t="shared" si="8"/>
        <v>-502</v>
      </c>
      <c r="B527">
        <f>IFERROR(IF(GCD(euler_n,A527)=1,1,0),0)</f>
        <v>0</v>
      </c>
      <c r="C527" s="12"/>
      <c r="G527" s="7"/>
      <c r="H527" s="7"/>
    </row>
    <row r="528" spans="1:8">
      <c r="A528">
        <f t="shared" si="8"/>
        <v>-503</v>
      </c>
      <c r="B528">
        <f>IFERROR(IF(GCD(euler_n,A528)=1,1,0),0)</f>
        <v>0</v>
      </c>
      <c r="C528" s="12"/>
      <c r="G528" s="7"/>
      <c r="H528" s="7"/>
    </row>
    <row r="529" spans="1:8">
      <c r="A529">
        <f t="shared" si="8"/>
        <v>-504</v>
      </c>
      <c r="B529">
        <f>IFERROR(IF(GCD(euler_n,A529)=1,1,0),0)</f>
        <v>0</v>
      </c>
      <c r="C529" s="12"/>
      <c r="G529" s="7"/>
      <c r="H529" s="7"/>
    </row>
    <row r="530" spans="1:8">
      <c r="A530">
        <f t="shared" si="8"/>
        <v>-505</v>
      </c>
      <c r="B530">
        <f>IFERROR(IF(GCD(euler_n,A530)=1,1,0),0)</f>
        <v>0</v>
      </c>
      <c r="C530" s="12"/>
      <c r="G530" s="7"/>
      <c r="H530" s="7"/>
    </row>
    <row r="531" spans="1:8">
      <c r="A531">
        <f t="shared" si="8"/>
        <v>-506</v>
      </c>
      <c r="B531">
        <f>IFERROR(IF(GCD(euler_n,A531)=1,1,0),0)</f>
        <v>0</v>
      </c>
      <c r="C531" s="12"/>
      <c r="G531" s="7"/>
      <c r="H531" s="7"/>
    </row>
    <row r="532" spans="1:8">
      <c r="A532">
        <f t="shared" si="8"/>
        <v>-507</v>
      </c>
      <c r="B532">
        <f>IFERROR(IF(GCD(euler_n,A532)=1,1,0),0)</f>
        <v>0</v>
      </c>
      <c r="C532" s="12"/>
      <c r="G532" s="7"/>
      <c r="H532" s="7"/>
    </row>
    <row r="533" spans="1:8">
      <c r="A533">
        <f t="shared" si="8"/>
        <v>-508</v>
      </c>
      <c r="B533">
        <f>IFERROR(IF(GCD(euler_n,A533)=1,1,0),0)</f>
        <v>0</v>
      </c>
      <c r="C533" s="12"/>
      <c r="G533" s="7"/>
      <c r="H533" s="7"/>
    </row>
    <row r="534" spans="1:8">
      <c r="A534">
        <f t="shared" si="8"/>
        <v>-509</v>
      </c>
      <c r="B534">
        <f>IFERROR(IF(GCD(euler_n,A534)=1,1,0),0)</f>
        <v>0</v>
      </c>
      <c r="C534" s="12"/>
      <c r="G534" s="7"/>
      <c r="H534" s="7"/>
    </row>
    <row r="535" spans="1:8">
      <c r="A535">
        <f t="shared" si="8"/>
        <v>-510</v>
      </c>
      <c r="B535">
        <f>IFERROR(IF(GCD(euler_n,A535)=1,1,0),0)</f>
        <v>0</v>
      </c>
      <c r="C535" s="12"/>
      <c r="G535" s="7"/>
      <c r="H535" s="7"/>
    </row>
    <row r="536" spans="1:8">
      <c r="A536">
        <f t="shared" si="8"/>
        <v>-511</v>
      </c>
      <c r="B536">
        <f>IFERROR(IF(GCD(euler_n,A536)=1,1,0),0)</f>
        <v>0</v>
      </c>
      <c r="C536" s="12"/>
      <c r="G536" s="7"/>
      <c r="H536" s="7"/>
    </row>
    <row r="537" spans="1:8">
      <c r="A537">
        <f t="shared" si="8"/>
        <v>-512</v>
      </c>
      <c r="B537">
        <f>IFERROR(IF(GCD(euler_n,A537)=1,1,0),0)</f>
        <v>0</v>
      </c>
      <c r="C537" s="12"/>
      <c r="G537" s="7"/>
      <c r="H537" s="7"/>
    </row>
    <row r="538" spans="1:8">
      <c r="A538">
        <f t="shared" si="8"/>
        <v>-513</v>
      </c>
      <c r="B538">
        <f>IFERROR(IF(GCD(euler_n,A538)=1,1,0),0)</f>
        <v>0</v>
      </c>
      <c r="C538" s="12"/>
      <c r="G538" s="7"/>
      <c r="H538" s="7"/>
    </row>
    <row r="539" spans="1:8">
      <c r="A539">
        <f t="shared" si="8"/>
        <v>-514</v>
      </c>
      <c r="B539">
        <f>IFERROR(IF(GCD(euler_n,A539)=1,1,0),0)</f>
        <v>0</v>
      </c>
      <c r="C539" s="12"/>
      <c r="G539" s="7"/>
      <c r="H539" s="7"/>
    </row>
    <row r="540" spans="1:8">
      <c r="A540">
        <f t="shared" si="8"/>
        <v>-515</v>
      </c>
      <c r="B540">
        <f>IFERROR(IF(GCD(euler_n,A540)=1,1,0),0)</f>
        <v>0</v>
      </c>
      <c r="C540" s="12"/>
      <c r="G540" s="7"/>
      <c r="H540" s="7"/>
    </row>
    <row r="541" spans="1:8">
      <c r="A541">
        <f t="shared" si="8"/>
        <v>-516</v>
      </c>
      <c r="B541">
        <f>IFERROR(IF(GCD(euler_n,A541)=1,1,0),0)</f>
        <v>0</v>
      </c>
      <c r="C541" s="12"/>
      <c r="G541" s="7"/>
      <c r="H541" s="7"/>
    </row>
    <row r="542" spans="1:8">
      <c r="A542">
        <f t="shared" si="8"/>
        <v>-517</v>
      </c>
      <c r="B542">
        <f>IFERROR(IF(GCD(euler_n,A542)=1,1,0),0)</f>
        <v>0</v>
      </c>
      <c r="C542" s="12"/>
      <c r="G542" s="7"/>
      <c r="H542" s="7"/>
    </row>
    <row r="543" spans="1:8">
      <c r="A543">
        <f t="shared" si="8"/>
        <v>-518</v>
      </c>
      <c r="B543">
        <f>IFERROR(IF(GCD(euler_n,A543)=1,1,0),0)</f>
        <v>0</v>
      </c>
      <c r="C543" s="12"/>
      <c r="G543" s="7"/>
      <c r="H543" s="7"/>
    </row>
    <row r="544" spans="1:8">
      <c r="A544">
        <f t="shared" si="8"/>
        <v>-519</v>
      </c>
      <c r="B544">
        <f>IFERROR(IF(GCD(euler_n,A544)=1,1,0),0)</f>
        <v>0</v>
      </c>
      <c r="C544" s="12"/>
      <c r="G544" s="7"/>
      <c r="H544" s="7"/>
    </row>
    <row r="545" spans="1:8">
      <c r="A545">
        <f t="shared" si="8"/>
        <v>-520</v>
      </c>
      <c r="B545">
        <f>IFERROR(IF(GCD(euler_n,A545)=1,1,0),0)</f>
        <v>0</v>
      </c>
      <c r="C545" s="12"/>
      <c r="G545" s="7"/>
      <c r="H545" s="7"/>
    </row>
    <row r="546" spans="1:8">
      <c r="A546">
        <f t="shared" si="8"/>
        <v>-521</v>
      </c>
      <c r="B546">
        <f>IFERROR(IF(GCD(euler_n,A546)=1,1,0),0)</f>
        <v>0</v>
      </c>
      <c r="C546" s="12"/>
      <c r="G546" s="7"/>
      <c r="H546" s="7"/>
    </row>
    <row r="547" spans="1:8">
      <c r="A547">
        <f t="shared" si="8"/>
        <v>-522</v>
      </c>
      <c r="B547">
        <f>IFERROR(IF(GCD(euler_n,A547)=1,1,0),0)</f>
        <v>0</v>
      </c>
      <c r="C547" s="12"/>
      <c r="G547" s="7"/>
      <c r="H547" s="7"/>
    </row>
    <row r="548" spans="1:8">
      <c r="A548">
        <f t="shared" ref="A548:A611" si="9">A547-1</f>
        <v>-523</v>
      </c>
      <c r="B548">
        <f>IFERROR(IF(GCD(euler_n,A548)=1,1,0),0)</f>
        <v>0</v>
      </c>
      <c r="C548" s="12"/>
      <c r="G548" s="7"/>
      <c r="H548" s="7"/>
    </row>
    <row r="549" spans="1:8">
      <c r="A549">
        <f t="shared" si="9"/>
        <v>-524</v>
      </c>
      <c r="B549">
        <f>IFERROR(IF(GCD(euler_n,A549)=1,1,0),0)</f>
        <v>0</v>
      </c>
      <c r="C549" s="12"/>
      <c r="G549" s="7"/>
      <c r="H549" s="7"/>
    </row>
    <row r="550" spans="1:8">
      <c r="A550">
        <f t="shared" si="9"/>
        <v>-525</v>
      </c>
      <c r="B550">
        <f>IFERROR(IF(GCD(euler_n,A550)=1,1,0),0)</f>
        <v>0</v>
      </c>
      <c r="C550" s="12"/>
      <c r="G550" s="7"/>
      <c r="H550" s="7"/>
    </row>
    <row r="551" spans="1:8">
      <c r="A551">
        <f t="shared" si="9"/>
        <v>-526</v>
      </c>
      <c r="B551">
        <f>IFERROR(IF(GCD(euler_n,A551)=1,1,0),0)</f>
        <v>0</v>
      </c>
      <c r="C551" s="12"/>
      <c r="G551" s="7"/>
      <c r="H551" s="7"/>
    </row>
    <row r="552" spans="1:8">
      <c r="A552">
        <f t="shared" si="9"/>
        <v>-527</v>
      </c>
      <c r="B552">
        <f>IFERROR(IF(GCD(euler_n,A552)=1,1,0),0)</f>
        <v>0</v>
      </c>
      <c r="C552" s="12"/>
      <c r="G552" s="7"/>
      <c r="H552" s="7"/>
    </row>
    <row r="553" spans="1:8">
      <c r="A553">
        <f t="shared" si="9"/>
        <v>-528</v>
      </c>
      <c r="B553">
        <f>IFERROR(IF(GCD(euler_n,A553)=1,1,0),0)</f>
        <v>0</v>
      </c>
      <c r="C553" s="12"/>
      <c r="G553" s="7"/>
      <c r="H553" s="7"/>
    </row>
    <row r="554" spans="1:8">
      <c r="A554">
        <f t="shared" si="9"/>
        <v>-529</v>
      </c>
      <c r="B554">
        <f>IFERROR(IF(GCD(euler_n,A554)=1,1,0),0)</f>
        <v>0</v>
      </c>
      <c r="C554" s="12"/>
      <c r="G554" s="7"/>
      <c r="H554" s="7"/>
    </row>
    <row r="555" spans="1:8">
      <c r="A555">
        <f t="shared" si="9"/>
        <v>-530</v>
      </c>
      <c r="B555">
        <f>IFERROR(IF(GCD(euler_n,A555)=1,1,0),0)</f>
        <v>0</v>
      </c>
      <c r="C555" s="12"/>
      <c r="G555" s="7"/>
      <c r="H555" s="7"/>
    </row>
    <row r="556" spans="1:8">
      <c r="A556">
        <f t="shared" si="9"/>
        <v>-531</v>
      </c>
      <c r="B556">
        <f>IFERROR(IF(GCD(euler_n,A556)=1,1,0),0)</f>
        <v>0</v>
      </c>
      <c r="C556" s="12"/>
      <c r="G556" s="7"/>
      <c r="H556" s="7"/>
    </row>
    <row r="557" spans="1:8">
      <c r="A557">
        <f t="shared" si="9"/>
        <v>-532</v>
      </c>
      <c r="B557">
        <f>IFERROR(IF(GCD(euler_n,A557)=1,1,0),0)</f>
        <v>0</v>
      </c>
      <c r="C557" s="12"/>
      <c r="G557" s="7"/>
      <c r="H557" s="7"/>
    </row>
    <row r="558" spans="1:8">
      <c r="A558">
        <f t="shared" si="9"/>
        <v>-533</v>
      </c>
      <c r="B558">
        <f>IFERROR(IF(GCD(euler_n,A558)=1,1,0),0)</f>
        <v>0</v>
      </c>
      <c r="C558" s="12"/>
      <c r="G558" s="7"/>
      <c r="H558" s="7"/>
    </row>
    <row r="559" spans="1:8">
      <c r="A559">
        <f t="shared" si="9"/>
        <v>-534</v>
      </c>
      <c r="B559">
        <f>IFERROR(IF(GCD(euler_n,A559)=1,1,0),0)</f>
        <v>0</v>
      </c>
      <c r="C559" s="12"/>
      <c r="G559" s="7"/>
      <c r="H559" s="7"/>
    </row>
    <row r="560" spans="1:8">
      <c r="A560">
        <f t="shared" si="9"/>
        <v>-535</v>
      </c>
      <c r="B560">
        <f>IFERROR(IF(GCD(euler_n,A560)=1,1,0),0)</f>
        <v>0</v>
      </c>
      <c r="C560" s="12"/>
      <c r="G560" s="7"/>
      <c r="H560" s="7"/>
    </row>
    <row r="561" spans="1:8">
      <c r="A561">
        <f t="shared" si="9"/>
        <v>-536</v>
      </c>
      <c r="B561">
        <f>IFERROR(IF(GCD(euler_n,A561)=1,1,0),0)</f>
        <v>0</v>
      </c>
      <c r="C561" s="12"/>
      <c r="G561" s="7"/>
      <c r="H561" s="7"/>
    </row>
    <row r="562" spans="1:8">
      <c r="A562">
        <f t="shared" si="9"/>
        <v>-537</v>
      </c>
      <c r="B562">
        <f>IFERROR(IF(GCD(euler_n,A562)=1,1,0),0)</f>
        <v>0</v>
      </c>
      <c r="C562" s="12"/>
      <c r="G562" s="7"/>
      <c r="H562" s="7"/>
    </row>
    <row r="563" spans="1:8">
      <c r="A563">
        <f t="shared" si="9"/>
        <v>-538</v>
      </c>
      <c r="B563">
        <f>IFERROR(IF(GCD(euler_n,A563)=1,1,0),0)</f>
        <v>0</v>
      </c>
      <c r="C563" s="12"/>
      <c r="G563" s="7"/>
      <c r="H563" s="7"/>
    </row>
    <row r="564" spans="1:8">
      <c r="A564">
        <f t="shared" si="9"/>
        <v>-539</v>
      </c>
      <c r="B564">
        <f>IFERROR(IF(GCD(euler_n,A564)=1,1,0),0)</f>
        <v>0</v>
      </c>
      <c r="C564" s="12"/>
      <c r="G564" s="7"/>
      <c r="H564" s="7"/>
    </row>
    <row r="565" spans="1:8">
      <c r="A565">
        <f t="shared" si="9"/>
        <v>-540</v>
      </c>
      <c r="B565">
        <f>IFERROR(IF(GCD(euler_n,A565)=1,1,0),0)</f>
        <v>0</v>
      </c>
      <c r="C565" s="12"/>
      <c r="G565" s="7"/>
      <c r="H565" s="7"/>
    </row>
    <row r="566" spans="1:8">
      <c r="A566">
        <f t="shared" si="9"/>
        <v>-541</v>
      </c>
      <c r="B566">
        <f>IFERROR(IF(GCD(euler_n,A566)=1,1,0),0)</f>
        <v>0</v>
      </c>
      <c r="C566" s="12"/>
      <c r="G566" s="7"/>
      <c r="H566" s="7"/>
    </row>
    <row r="567" spans="1:8">
      <c r="A567">
        <f t="shared" si="9"/>
        <v>-542</v>
      </c>
      <c r="B567">
        <f>IFERROR(IF(GCD(euler_n,A567)=1,1,0),0)</f>
        <v>0</v>
      </c>
      <c r="C567" s="12"/>
      <c r="G567" s="7"/>
      <c r="H567" s="7"/>
    </row>
    <row r="568" spans="1:8">
      <c r="A568">
        <f t="shared" si="9"/>
        <v>-543</v>
      </c>
      <c r="B568">
        <f>IFERROR(IF(GCD(euler_n,A568)=1,1,0),0)</f>
        <v>0</v>
      </c>
      <c r="C568" s="12"/>
      <c r="G568" s="7"/>
      <c r="H568" s="7"/>
    </row>
    <row r="569" spans="1:8">
      <c r="A569">
        <f t="shared" si="9"/>
        <v>-544</v>
      </c>
      <c r="B569">
        <f>IFERROR(IF(GCD(euler_n,A569)=1,1,0),0)</f>
        <v>0</v>
      </c>
      <c r="C569" s="12"/>
      <c r="G569" s="7"/>
      <c r="H569" s="7"/>
    </row>
    <row r="570" spans="1:8">
      <c r="A570">
        <f t="shared" si="9"/>
        <v>-545</v>
      </c>
      <c r="B570">
        <f>IFERROR(IF(GCD(euler_n,A570)=1,1,0),0)</f>
        <v>0</v>
      </c>
      <c r="C570" s="12"/>
      <c r="G570" s="7"/>
      <c r="H570" s="7"/>
    </row>
    <row r="571" spans="1:8">
      <c r="A571">
        <f t="shared" si="9"/>
        <v>-546</v>
      </c>
      <c r="B571">
        <f>IFERROR(IF(GCD(euler_n,A571)=1,1,0),0)</f>
        <v>0</v>
      </c>
      <c r="C571" s="12"/>
      <c r="G571" s="7"/>
      <c r="H571" s="7"/>
    </row>
    <row r="572" spans="1:8">
      <c r="A572">
        <f t="shared" si="9"/>
        <v>-547</v>
      </c>
      <c r="B572">
        <f>IFERROR(IF(GCD(euler_n,A572)=1,1,0),0)</f>
        <v>0</v>
      </c>
      <c r="C572" s="12"/>
      <c r="G572" s="7"/>
      <c r="H572" s="7"/>
    </row>
    <row r="573" spans="1:8">
      <c r="A573">
        <f t="shared" si="9"/>
        <v>-548</v>
      </c>
      <c r="B573">
        <f>IFERROR(IF(GCD(euler_n,A573)=1,1,0),0)</f>
        <v>0</v>
      </c>
      <c r="C573" s="12"/>
      <c r="G573" s="7"/>
      <c r="H573" s="7"/>
    </row>
    <row r="574" spans="1:8">
      <c r="A574">
        <f t="shared" si="9"/>
        <v>-549</v>
      </c>
      <c r="B574">
        <f>IFERROR(IF(GCD(euler_n,A574)=1,1,0),0)</f>
        <v>0</v>
      </c>
      <c r="C574" s="12"/>
      <c r="G574" s="7"/>
      <c r="H574" s="7"/>
    </row>
    <row r="575" spans="1:8">
      <c r="A575">
        <f t="shared" si="9"/>
        <v>-550</v>
      </c>
      <c r="B575">
        <f>IFERROR(IF(GCD(euler_n,A575)=1,1,0),0)</f>
        <v>0</v>
      </c>
      <c r="C575" s="12"/>
      <c r="G575" s="7"/>
      <c r="H575" s="7"/>
    </row>
    <row r="576" spans="1:8">
      <c r="A576">
        <f t="shared" si="9"/>
        <v>-551</v>
      </c>
      <c r="B576">
        <f>IFERROR(IF(GCD(euler_n,A576)=1,1,0),0)</f>
        <v>0</v>
      </c>
      <c r="C576" s="12"/>
      <c r="G576" s="7"/>
      <c r="H576" s="7"/>
    </row>
    <row r="577" spans="1:8">
      <c r="A577">
        <f t="shared" si="9"/>
        <v>-552</v>
      </c>
      <c r="B577">
        <f>IFERROR(IF(GCD(euler_n,A577)=1,1,0),0)</f>
        <v>0</v>
      </c>
      <c r="C577" s="12"/>
      <c r="G577" s="7"/>
      <c r="H577" s="7"/>
    </row>
    <row r="578" spans="1:8">
      <c r="A578">
        <f t="shared" si="9"/>
        <v>-553</v>
      </c>
      <c r="B578">
        <f>IFERROR(IF(GCD(euler_n,A578)=1,1,0),0)</f>
        <v>0</v>
      </c>
      <c r="C578" s="12"/>
      <c r="G578" s="7"/>
      <c r="H578" s="7"/>
    </row>
    <row r="579" spans="1:8">
      <c r="A579">
        <f t="shared" si="9"/>
        <v>-554</v>
      </c>
      <c r="B579">
        <f>IFERROR(IF(GCD(euler_n,A579)=1,1,0),0)</f>
        <v>0</v>
      </c>
      <c r="C579" s="12"/>
      <c r="G579" s="7"/>
      <c r="H579" s="7"/>
    </row>
    <row r="580" spans="1:8">
      <c r="A580">
        <f t="shared" si="9"/>
        <v>-555</v>
      </c>
      <c r="B580">
        <f>IFERROR(IF(GCD(euler_n,A580)=1,1,0),0)</f>
        <v>0</v>
      </c>
      <c r="C580" s="12"/>
      <c r="G580" s="7"/>
      <c r="H580" s="7"/>
    </row>
    <row r="581" spans="1:8">
      <c r="A581">
        <f t="shared" si="9"/>
        <v>-556</v>
      </c>
      <c r="B581">
        <f>IFERROR(IF(GCD(euler_n,A581)=1,1,0),0)</f>
        <v>0</v>
      </c>
      <c r="C581" s="12"/>
      <c r="G581" s="7"/>
      <c r="H581" s="7"/>
    </row>
    <row r="582" spans="1:8">
      <c r="A582">
        <f t="shared" si="9"/>
        <v>-557</v>
      </c>
      <c r="B582">
        <f>IFERROR(IF(GCD(euler_n,A582)=1,1,0),0)</f>
        <v>0</v>
      </c>
      <c r="C582" s="12"/>
      <c r="G582" s="7"/>
      <c r="H582" s="7"/>
    </row>
    <row r="583" spans="1:8">
      <c r="A583">
        <f t="shared" si="9"/>
        <v>-558</v>
      </c>
      <c r="B583">
        <f>IFERROR(IF(GCD(euler_n,A583)=1,1,0),0)</f>
        <v>0</v>
      </c>
      <c r="C583" s="12"/>
      <c r="G583" s="7"/>
      <c r="H583" s="7"/>
    </row>
    <row r="584" spans="1:8">
      <c r="A584">
        <f t="shared" si="9"/>
        <v>-559</v>
      </c>
      <c r="B584">
        <f>IFERROR(IF(GCD(euler_n,A584)=1,1,0),0)</f>
        <v>0</v>
      </c>
      <c r="C584" s="12"/>
      <c r="G584" s="7"/>
      <c r="H584" s="7"/>
    </row>
    <row r="585" spans="1:8">
      <c r="A585">
        <f t="shared" si="9"/>
        <v>-560</v>
      </c>
      <c r="B585">
        <f>IFERROR(IF(GCD(euler_n,A585)=1,1,0),0)</f>
        <v>0</v>
      </c>
      <c r="C585" s="12"/>
      <c r="G585" s="7"/>
      <c r="H585" s="7"/>
    </row>
    <row r="586" spans="1:8">
      <c r="A586">
        <f t="shared" si="9"/>
        <v>-561</v>
      </c>
      <c r="B586">
        <f>IFERROR(IF(GCD(euler_n,A586)=1,1,0),0)</f>
        <v>0</v>
      </c>
      <c r="C586" s="12"/>
      <c r="G586" s="7"/>
      <c r="H586" s="7"/>
    </row>
    <row r="587" spans="1:8">
      <c r="A587">
        <f t="shared" si="9"/>
        <v>-562</v>
      </c>
      <c r="B587">
        <f>IFERROR(IF(GCD(euler_n,A587)=1,1,0),0)</f>
        <v>0</v>
      </c>
      <c r="C587" s="12"/>
      <c r="G587" s="7"/>
      <c r="H587" s="7"/>
    </row>
    <row r="588" spans="1:8">
      <c r="A588">
        <f t="shared" si="9"/>
        <v>-563</v>
      </c>
      <c r="B588">
        <f>IFERROR(IF(GCD(euler_n,A588)=1,1,0),0)</f>
        <v>0</v>
      </c>
      <c r="C588" s="12"/>
      <c r="G588" s="7"/>
      <c r="H588" s="7"/>
    </row>
    <row r="589" spans="1:8">
      <c r="A589">
        <f t="shared" si="9"/>
        <v>-564</v>
      </c>
      <c r="B589">
        <f>IFERROR(IF(GCD(euler_n,A589)=1,1,0),0)</f>
        <v>0</v>
      </c>
      <c r="C589" s="12"/>
      <c r="G589" s="7"/>
      <c r="H589" s="7"/>
    </row>
    <row r="590" spans="1:8">
      <c r="A590">
        <f t="shared" si="9"/>
        <v>-565</v>
      </c>
      <c r="B590">
        <f>IFERROR(IF(GCD(euler_n,A590)=1,1,0),0)</f>
        <v>0</v>
      </c>
      <c r="C590" s="12"/>
      <c r="G590" s="7"/>
      <c r="H590" s="7"/>
    </row>
    <row r="591" spans="1:8">
      <c r="A591">
        <f t="shared" si="9"/>
        <v>-566</v>
      </c>
      <c r="B591">
        <f>IFERROR(IF(GCD(euler_n,A591)=1,1,0),0)</f>
        <v>0</v>
      </c>
      <c r="C591" s="12"/>
      <c r="G591" s="7"/>
      <c r="H591" s="7"/>
    </row>
    <row r="592" spans="1:8">
      <c r="A592">
        <f t="shared" si="9"/>
        <v>-567</v>
      </c>
      <c r="B592">
        <f>IFERROR(IF(GCD(euler_n,A592)=1,1,0),0)</f>
        <v>0</v>
      </c>
      <c r="C592" s="12"/>
      <c r="G592" s="7"/>
      <c r="H592" s="7"/>
    </row>
    <row r="593" spans="1:8">
      <c r="A593">
        <f t="shared" si="9"/>
        <v>-568</v>
      </c>
      <c r="B593">
        <f>IFERROR(IF(GCD(euler_n,A593)=1,1,0),0)</f>
        <v>0</v>
      </c>
      <c r="C593" s="12"/>
      <c r="G593" s="7"/>
      <c r="H593" s="7"/>
    </row>
    <row r="594" spans="1:8">
      <c r="A594">
        <f t="shared" si="9"/>
        <v>-569</v>
      </c>
      <c r="B594">
        <f>IFERROR(IF(GCD(euler_n,A594)=1,1,0),0)</f>
        <v>0</v>
      </c>
      <c r="C594" s="12"/>
      <c r="G594" s="7"/>
      <c r="H594" s="7"/>
    </row>
    <row r="595" spans="1:8">
      <c r="A595">
        <f t="shared" si="9"/>
        <v>-570</v>
      </c>
      <c r="B595">
        <f>IFERROR(IF(GCD(euler_n,A595)=1,1,0),0)</f>
        <v>0</v>
      </c>
      <c r="C595" s="12"/>
      <c r="G595" s="7"/>
      <c r="H595" s="7"/>
    </row>
    <row r="596" spans="1:8">
      <c r="A596">
        <f t="shared" si="9"/>
        <v>-571</v>
      </c>
      <c r="B596">
        <f>IFERROR(IF(GCD(euler_n,A596)=1,1,0),0)</f>
        <v>0</v>
      </c>
      <c r="C596" s="12"/>
      <c r="G596" s="7"/>
      <c r="H596" s="7"/>
    </row>
    <row r="597" spans="1:8">
      <c r="A597">
        <f t="shared" si="9"/>
        <v>-572</v>
      </c>
      <c r="B597">
        <f>IFERROR(IF(GCD(euler_n,A597)=1,1,0),0)</f>
        <v>0</v>
      </c>
      <c r="C597" s="12"/>
      <c r="G597" s="7"/>
      <c r="H597" s="7"/>
    </row>
    <row r="598" spans="1:8">
      <c r="A598">
        <f t="shared" si="9"/>
        <v>-573</v>
      </c>
      <c r="B598">
        <f>IFERROR(IF(GCD(euler_n,A598)=1,1,0),0)</f>
        <v>0</v>
      </c>
      <c r="C598" s="12"/>
      <c r="G598" s="7"/>
      <c r="H598" s="7"/>
    </row>
    <row r="599" spans="1:8">
      <c r="A599">
        <f t="shared" si="9"/>
        <v>-574</v>
      </c>
      <c r="B599">
        <f>IFERROR(IF(GCD(euler_n,A599)=1,1,0),0)</f>
        <v>0</v>
      </c>
      <c r="C599" s="12"/>
      <c r="G599" s="7"/>
      <c r="H599" s="7"/>
    </row>
    <row r="600" spans="1:8">
      <c r="A600">
        <f t="shared" si="9"/>
        <v>-575</v>
      </c>
      <c r="B600">
        <f>IFERROR(IF(GCD(euler_n,A600)=1,1,0),0)</f>
        <v>0</v>
      </c>
      <c r="C600" s="12"/>
      <c r="G600" s="7"/>
      <c r="H600" s="7"/>
    </row>
    <row r="601" spans="1:8">
      <c r="A601">
        <f t="shared" si="9"/>
        <v>-576</v>
      </c>
      <c r="B601">
        <f>IFERROR(IF(GCD(euler_n,A601)=1,1,0),0)</f>
        <v>0</v>
      </c>
      <c r="C601" s="12"/>
      <c r="G601" s="7"/>
      <c r="H601" s="7"/>
    </row>
    <row r="602" spans="1:8">
      <c r="A602">
        <f t="shared" si="9"/>
        <v>-577</v>
      </c>
      <c r="B602">
        <f>IFERROR(IF(GCD(euler_n,A602)=1,1,0),0)</f>
        <v>0</v>
      </c>
      <c r="C602" s="12"/>
      <c r="G602" s="7"/>
      <c r="H602" s="7"/>
    </row>
    <row r="603" spans="1:8">
      <c r="A603">
        <f t="shared" si="9"/>
        <v>-578</v>
      </c>
      <c r="B603">
        <f>IFERROR(IF(GCD(euler_n,A603)=1,1,0),0)</f>
        <v>0</v>
      </c>
      <c r="C603" s="12"/>
      <c r="G603" s="7"/>
      <c r="H603" s="7"/>
    </row>
    <row r="604" spans="1:8">
      <c r="A604">
        <f t="shared" si="9"/>
        <v>-579</v>
      </c>
      <c r="B604">
        <f>IFERROR(IF(GCD(euler_n,A604)=1,1,0),0)</f>
        <v>0</v>
      </c>
      <c r="C604" s="12"/>
      <c r="G604" s="7"/>
      <c r="H604" s="7"/>
    </row>
    <row r="605" spans="1:8">
      <c r="A605">
        <f t="shared" si="9"/>
        <v>-580</v>
      </c>
      <c r="B605">
        <f>IFERROR(IF(GCD(euler_n,A605)=1,1,0),0)</f>
        <v>0</v>
      </c>
      <c r="C605" s="12"/>
      <c r="G605" s="7"/>
      <c r="H605" s="7"/>
    </row>
    <row r="606" spans="1:8">
      <c r="A606">
        <f t="shared" si="9"/>
        <v>-581</v>
      </c>
      <c r="B606">
        <f>IFERROR(IF(GCD(euler_n,A606)=1,1,0),0)</f>
        <v>0</v>
      </c>
      <c r="C606" s="12"/>
      <c r="G606" s="7"/>
      <c r="H606" s="7"/>
    </row>
    <row r="607" spans="1:8">
      <c r="A607">
        <f t="shared" si="9"/>
        <v>-582</v>
      </c>
      <c r="B607">
        <f>IFERROR(IF(GCD(euler_n,A607)=1,1,0),0)</f>
        <v>0</v>
      </c>
      <c r="C607" s="12"/>
      <c r="G607" s="7"/>
      <c r="H607" s="7"/>
    </row>
    <row r="608" spans="1:8">
      <c r="A608">
        <f t="shared" si="9"/>
        <v>-583</v>
      </c>
      <c r="B608">
        <f>IFERROR(IF(GCD(euler_n,A608)=1,1,0),0)</f>
        <v>0</v>
      </c>
      <c r="C608" s="12"/>
      <c r="G608" s="7"/>
      <c r="H608" s="7"/>
    </row>
    <row r="609" spans="1:8">
      <c r="A609">
        <f t="shared" si="9"/>
        <v>-584</v>
      </c>
      <c r="B609">
        <f>IFERROR(IF(GCD(euler_n,A609)=1,1,0),0)</f>
        <v>0</v>
      </c>
      <c r="C609" s="12"/>
      <c r="G609" s="7"/>
      <c r="H609" s="7"/>
    </row>
    <row r="610" spans="1:8">
      <c r="A610">
        <f t="shared" si="9"/>
        <v>-585</v>
      </c>
      <c r="B610">
        <f>IFERROR(IF(GCD(euler_n,A610)=1,1,0),0)</f>
        <v>0</v>
      </c>
      <c r="C610" s="12"/>
      <c r="G610" s="7"/>
      <c r="H610" s="7"/>
    </row>
    <row r="611" spans="1:8">
      <c r="A611">
        <f t="shared" si="9"/>
        <v>-586</v>
      </c>
      <c r="B611">
        <f>IFERROR(IF(GCD(euler_n,A611)=1,1,0),0)</f>
        <v>0</v>
      </c>
      <c r="C611" s="12"/>
      <c r="G611" s="7"/>
      <c r="H611" s="7"/>
    </row>
    <row r="612" spans="1:8">
      <c r="A612">
        <f t="shared" ref="A612:A675" si="10">A611-1</f>
        <v>-587</v>
      </c>
      <c r="B612">
        <f>IFERROR(IF(GCD(euler_n,A612)=1,1,0),0)</f>
        <v>0</v>
      </c>
      <c r="C612" s="12"/>
      <c r="G612" s="7"/>
      <c r="H612" s="7"/>
    </row>
    <row r="613" spans="1:8">
      <c r="A613">
        <f t="shared" si="10"/>
        <v>-588</v>
      </c>
      <c r="B613">
        <f>IFERROR(IF(GCD(euler_n,A613)=1,1,0),0)</f>
        <v>0</v>
      </c>
      <c r="C613" s="12"/>
      <c r="G613" s="7"/>
      <c r="H613" s="7"/>
    </row>
    <row r="614" spans="1:8">
      <c r="A614">
        <f t="shared" si="10"/>
        <v>-589</v>
      </c>
      <c r="B614">
        <f>IFERROR(IF(GCD(euler_n,A614)=1,1,0),0)</f>
        <v>0</v>
      </c>
      <c r="C614" s="12"/>
      <c r="G614" s="7"/>
      <c r="H614" s="7"/>
    </row>
    <row r="615" spans="1:8">
      <c r="A615">
        <f t="shared" si="10"/>
        <v>-590</v>
      </c>
      <c r="B615">
        <f>IFERROR(IF(GCD(euler_n,A615)=1,1,0),0)</f>
        <v>0</v>
      </c>
      <c r="C615" s="12"/>
      <c r="G615" s="7"/>
      <c r="H615" s="7"/>
    </row>
    <row r="616" spans="1:8">
      <c r="A616">
        <f t="shared" si="10"/>
        <v>-591</v>
      </c>
      <c r="B616">
        <f>IFERROR(IF(GCD(euler_n,A616)=1,1,0),0)</f>
        <v>0</v>
      </c>
      <c r="C616" s="12"/>
      <c r="G616" s="7"/>
      <c r="H616" s="7"/>
    </row>
    <row r="617" spans="1:8">
      <c r="A617">
        <f t="shared" si="10"/>
        <v>-592</v>
      </c>
      <c r="B617">
        <f>IFERROR(IF(GCD(euler_n,A617)=1,1,0),0)</f>
        <v>0</v>
      </c>
      <c r="C617" s="12"/>
      <c r="G617" s="7"/>
      <c r="H617" s="7"/>
    </row>
    <row r="618" spans="1:8">
      <c r="A618">
        <f t="shared" si="10"/>
        <v>-593</v>
      </c>
      <c r="B618">
        <f>IFERROR(IF(GCD(euler_n,A618)=1,1,0),0)</f>
        <v>0</v>
      </c>
      <c r="C618" s="12"/>
      <c r="G618" s="7"/>
      <c r="H618" s="7"/>
    </row>
    <row r="619" spans="1:8">
      <c r="A619">
        <f t="shared" si="10"/>
        <v>-594</v>
      </c>
      <c r="B619">
        <f>IFERROR(IF(GCD(euler_n,A619)=1,1,0),0)</f>
        <v>0</v>
      </c>
      <c r="C619" s="12"/>
      <c r="G619" s="7"/>
      <c r="H619" s="7"/>
    </row>
    <row r="620" spans="1:8">
      <c r="A620">
        <f t="shared" si="10"/>
        <v>-595</v>
      </c>
      <c r="B620">
        <f>IFERROR(IF(GCD(euler_n,A620)=1,1,0),0)</f>
        <v>0</v>
      </c>
      <c r="C620" s="12"/>
      <c r="G620" s="7"/>
      <c r="H620" s="7"/>
    </row>
    <row r="621" spans="1:8">
      <c r="A621">
        <f t="shared" si="10"/>
        <v>-596</v>
      </c>
      <c r="B621">
        <f>IFERROR(IF(GCD(euler_n,A621)=1,1,0),0)</f>
        <v>0</v>
      </c>
      <c r="C621" s="12"/>
      <c r="G621" s="7"/>
      <c r="H621" s="7"/>
    </row>
    <row r="622" spans="1:8">
      <c r="A622">
        <f t="shared" si="10"/>
        <v>-597</v>
      </c>
      <c r="B622">
        <f>IFERROR(IF(GCD(euler_n,A622)=1,1,0),0)</f>
        <v>0</v>
      </c>
      <c r="C622" s="12"/>
      <c r="G622" s="7"/>
      <c r="H622" s="7"/>
    </row>
    <row r="623" spans="1:8">
      <c r="A623">
        <f t="shared" si="10"/>
        <v>-598</v>
      </c>
      <c r="B623">
        <f>IFERROR(IF(GCD(euler_n,A623)=1,1,0),0)</f>
        <v>0</v>
      </c>
      <c r="C623" s="12"/>
      <c r="G623" s="7"/>
      <c r="H623" s="7"/>
    </row>
    <row r="624" spans="1:8">
      <c r="A624">
        <f t="shared" si="10"/>
        <v>-599</v>
      </c>
      <c r="B624">
        <f>IFERROR(IF(GCD(euler_n,A624)=1,1,0),0)</f>
        <v>0</v>
      </c>
      <c r="C624" s="12"/>
      <c r="G624" s="7"/>
      <c r="H624" s="7"/>
    </row>
    <row r="625" spans="1:8">
      <c r="A625">
        <f t="shared" si="10"/>
        <v>-600</v>
      </c>
      <c r="B625">
        <f>IFERROR(IF(GCD(euler_n,A625)=1,1,0),0)</f>
        <v>0</v>
      </c>
      <c r="C625" s="12"/>
      <c r="G625" s="7"/>
      <c r="H625" s="7"/>
    </row>
    <row r="626" spans="1:8">
      <c r="A626">
        <f t="shared" si="10"/>
        <v>-601</v>
      </c>
      <c r="B626">
        <f>IFERROR(IF(GCD(euler_n,A626)=1,1,0),0)</f>
        <v>0</v>
      </c>
      <c r="C626" s="12"/>
      <c r="G626" s="7"/>
      <c r="H626" s="7"/>
    </row>
    <row r="627" spans="1:8">
      <c r="A627">
        <f t="shared" si="10"/>
        <v>-602</v>
      </c>
      <c r="B627">
        <f>IFERROR(IF(GCD(euler_n,A627)=1,1,0),0)</f>
        <v>0</v>
      </c>
      <c r="C627" s="12"/>
      <c r="G627" s="7"/>
      <c r="H627" s="7"/>
    </row>
    <row r="628" spans="1:8">
      <c r="A628">
        <f t="shared" si="10"/>
        <v>-603</v>
      </c>
      <c r="B628">
        <f>IFERROR(IF(GCD(euler_n,A628)=1,1,0),0)</f>
        <v>0</v>
      </c>
      <c r="C628" s="12"/>
      <c r="G628" s="7"/>
      <c r="H628" s="7"/>
    </row>
    <row r="629" spans="1:8">
      <c r="A629">
        <f t="shared" si="10"/>
        <v>-604</v>
      </c>
      <c r="B629">
        <f>IFERROR(IF(GCD(euler_n,A629)=1,1,0),0)</f>
        <v>0</v>
      </c>
      <c r="C629" s="12"/>
      <c r="G629" s="7"/>
      <c r="H629" s="7"/>
    </row>
    <row r="630" spans="1:8">
      <c r="A630">
        <f t="shared" si="10"/>
        <v>-605</v>
      </c>
      <c r="B630">
        <f>IFERROR(IF(GCD(euler_n,A630)=1,1,0),0)</f>
        <v>0</v>
      </c>
      <c r="C630" s="12"/>
      <c r="G630" s="7"/>
      <c r="H630" s="7"/>
    </row>
    <row r="631" spans="1:8">
      <c r="A631">
        <f t="shared" si="10"/>
        <v>-606</v>
      </c>
      <c r="B631">
        <f>IFERROR(IF(GCD(euler_n,A631)=1,1,0),0)</f>
        <v>0</v>
      </c>
      <c r="C631" s="12"/>
      <c r="G631" s="7"/>
      <c r="H631" s="7"/>
    </row>
    <row r="632" spans="1:8">
      <c r="A632">
        <f t="shared" si="10"/>
        <v>-607</v>
      </c>
      <c r="B632">
        <f>IFERROR(IF(GCD(euler_n,A632)=1,1,0),0)</f>
        <v>0</v>
      </c>
      <c r="C632" s="12"/>
      <c r="G632" s="7"/>
      <c r="H632" s="7"/>
    </row>
    <row r="633" spans="1:8">
      <c r="A633">
        <f t="shared" si="10"/>
        <v>-608</v>
      </c>
      <c r="B633">
        <f>IFERROR(IF(GCD(euler_n,A633)=1,1,0),0)</f>
        <v>0</v>
      </c>
      <c r="C633" s="12"/>
      <c r="G633" s="7"/>
      <c r="H633" s="7"/>
    </row>
    <row r="634" spans="1:8">
      <c r="A634">
        <f t="shared" si="10"/>
        <v>-609</v>
      </c>
      <c r="B634">
        <f>IFERROR(IF(GCD(euler_n,A634)=1,1,0),0)</f>
        <v>0</v>
      </c>
      <c r="C634" s="12"/>
      <c r="G634" s="7"/>
      <c r="H634" s="7"/>
    </row>
    <row r="635" spans="1:8">
      <c r="A635">
        <f t="shared" si="10"/>
        <v>-610</v>
      </c>
      <c r="B635">
        <f>IFERROR(IF(GCD(euler_n,A635)=1,1,0),0)</f>
        <v>0</v>
      </c>
      <c r="C635" s="12"/>
      <c r="G635" s="7"/>
      <c r="H635" s="7"/>
    </row>
    <row r="636" spans="1:8">
      <c r="A636">
        <f t="shared" si="10"/>
        <v>-611</v>
      </c>
      <c r="B636">
        <f>IFERROR(IF(GCD(euler_n,A636)=1,1,0),0)</f>
        <v>0</v>
      </c>
      <c r="C636" s="12"/>
      <c r="G636" s="7"/>
      <c r="H636" s="7"/>
    </row>
    <row r="637" spans="1:8">
      <c r="A637">
        <f t="shared" si="10"/>
        <v>-612</v>
      </c>
      <c r="B637">
        <f>IFERROR(IF(GCD(euler_n,A637)=1,1,0),0)</f>
        <v>0</v>
      </c>
      <c r="C637" s="12"/>
      <c r="G637" s="7"/>
      <c r="H637" s="7"/>
    </row>
    <row r="638" spans="1:8">
      <c r="A638">
        <f t="shared" si="10"/>
        <v>-613</v>
      </c>
      <c r="B638">
        <f>IFERROR(IF(GCD(euler_n,A638)=1,1,0),0)</f>
        <v>0</v>
      </c>
      <c r="C638" s="12"/>
      <c r="G638" s="7"/>
      <c r="H638" s="7"/>
    </row>
    <row r="639" spans="1:8">
      <c r="A639">
        <f t="shared" si="10"/>
        <v>-614</v>
      </c>
      <c r="B639">
        <f>IFERROR(IF(GCD(euler_n,A639)=1,1,0),0)</f>
        <v>0</v>
      </c>
      <c r="C639" s="12"/>
      <c r="G639" s="7"/>
      <c r="H639" s="7"/>
    </row>
    <row r="640" spans="1:8">
      <c r="A640">
        <f t="shared" si="10"/>
        <v>-615</v>
      </c>
      <c r="B640">
        <f>IFERROR(IF(GCD(euler_n,A640)=1,1,0),0)</f>
        <v>0</v>
      </c>
      <c r="C640" s="12"/>
      <c r="G640" s="7"/>
      <c r="H640" s="7"/>
    </row>
    <row r="641" spans="1:8">
      <c r="A641">
        <f t="shared" si="10"/>
        <v>-616</v>
      </c>
      <c r="B641">
        <f>IFERROR(IF(GCD(euler_n,A641)=1,1,0),0)</f>
        <v>0</v>
      </c>
      <c r="C641" s="12"/>
      <c r="G641" s="7"/>
      <c r="H641" s="7"/>
    </row>
    <row r="642" spans="1:8">
      <c r="A642">
        <f t="shared" si="10"/>
        <v>-617</v>
      </c>
      <c r="B642">
        <f>IFERROR(IF(GCD(euler_n,A642)=1,1,0),0)</f>
        <v>0</v>
      </c>
      <c r="C642" s="12"/>
      <c r="G642" s="7"/>
      <c r="H642" s="7"/>
    </row>
    <row r="643" spans="1:8">
      <c r="A643">
        <f t="shared" si="10"/>
        <v>-618</v>
      </c>
      <c r="B643">
        <f>IFERROR(IF(GCD(euler_n,A643)=1,1,0),0)</f>
        <v>0</v>
      </c>
      <c r="C643" s="12"/>
      <c r="G643" s="7"/>
      <c r="H643" s="7"/>
    </row>
    <row r="644" spans="1:8">
      <c r="A644">
        <f t="shared" si="10"/>
        <v>-619</v>
      </c>
      <c r="B644">
        <f>IFERROR(IF(GCD(euler_n,A644)=1,1,0),0)</f>
        <v>0</v>
      </c>
      <c r="C644" s="12"/>
      <c r="G644" s="7"/>
      <c r="H644" s="7"/>
    </row>
    <row r="645" spans="1:8">
      <c r="A645">
        <f t="shared" si="10"/>
        <v>-620</v>
      </c>
      <c r="B645">
        <f>IFERROR(IF(GCD(euler_n,A645)=1,1,0),0)</f>
        <v>0</v>
      </c>
      <c r="C645" s="12"/>
      <c r="G645" s="7"/>
      <c r="H645" s="7"/>
    </row>
    <row r="646" spans="1:8">
      <c r="A646">
        <f t="shared" si="10"/>
        <v>-621</v>
      </c>
      <c r="B646">
        <f>IFERROR(IF(GCD(euler_n,A646)=1,1,0),0)</f>
        <v>0</v>
      </c>
      <c r="C646" s="12"/>
      <c r="G646" s="7"/>
      <c r="H646" s="7"/>
    </row>
    <row r="647" spans="1:8">
      <c r="A647">
        <f t="shared" si="10"/>
        <v>-622</v>
      </c>
      <c r="B647">
        <f>IFERROR(IF(GCD(euler_n,A647)=1,1,0),0)</f>
        <v>0</v>
      </c>
      <c r="C647" s="12"/>
      <c r="G647" s="7"/>
      <c r="H647" s="7"/>
    </row>
    <row r="648" spans="1:8">
      <c r="A648">
        <f t="shared" si="10"/>
        <v>-623</v>
      </c>
      <c r="B648">
        <f>IFERROR(IF(GCD(euler_n,A648)=1,1,0),0)</f>
        <v>0</v>
      </c>
      <c r="C648" s="12"/>
      <c r="G648" s="7"/>
      <c r="H648" s="7"/>
    </row>
    <row r="649" spans="1:8">
      <c r="A649">
        <f t="shared" si="10"/>
        <v>-624</v>
      </c>
      <c r="B649">
        <f>IFERROR(IF(GCD(euler_n,A649)=1,1,0),0)</f>
        <v>0</v>
      </c>
      <c r="C649" s="12"/>
      <c r="G649" s="7"/>
      <c r="H649" s="7"/>
    </row>
    <row r="650" spans="1:8">
      <c r="A650">
        <f t="shared" si="10"/>
        <v>-625</v>
      </c>
      <c r="B650">
        <f>IFERROR(IF(GCD(euler_n,A650)=1,1,0),0)</f>
        <v>0</v>
      </c>
      <c r="C650" s="12"/>
      <c r="G650" s="7"/>
      <c r="H650" s="7"/>
    </row>
    <row r="651" spans="1:8">
      <c r="A651">
        <f t="shared" si="10"/>
        <v>-626</v>
      </c>
      <c r="B651">
        <f>IFERROR(IF(GCD(euler_n,A651)=1,1,0),0)</f>
        <v>0</v>
      </c>
      <c r="C651" s="12"/>
      <c r="G651" s="7"/>
      <c r="H651" s="7"/>
    </row>
    <row r="652" spans="1:8">
      <c r="A652">
        <f t="shared" si="10"/>
        <v>-627</v>
      </c>
      <c r="B652">
        <f>IFERROR(IF(GCD(euler_n,A652)=1,1,0),0)</f>
        <v>0</v>
      </c>
      <c r="C652" s="12"/>
      <c r="G652" s="7"/>
      <c r="H652" s="7"/>
    </row>
    <row r="653" spans="1:8">
      <c r="A653">
        <f t="shared" si="10"/>
        <v>-628</v>
      </c>
      <c r="B653">
        <f>IFERROR(IF(GCD(euler_n,A653)=1,1,0),0)</f>
        <v>0</v>
      </c>
      <c r="C653" s="12"/>
      <c r="G653" s="7"/>
      <c r="H653" s="7"/>
    </row>
    <row r="654" spans="1:8">
      <c r="A654">
        <f t="shared" si="10"/>
        <v>-629</v>
      </c>
      <c r="B654">
        <f>IFERROR(IF(GCD(euler_n,A654)=1,1,0),0)</f>
        <v>0</v>
      </c>
      <c r="C654" s="12"/>
      <c r="G654" s="7"/>
      <c r="H654" s="7"/>
    </row>
    <row r="655" spans="1:8">
      <c r="A655">
        <f t="shared" si="10"/>
        <v>-630</v>
      </c>
      <c r="B655">
        <f>IFERROR(IF(GCD(euler_n,A655)=1,1,0),0)</f>
        <v>0</v>
      </c>
      <c r="C655" s="12"/>
      <c r="G655" s="7"/>
      <c r="H655" s="7"/>
    </row>
    <row r="656" spans="1:8">
      <c r="A656">
        <f t="shared" si="10"/>
        <v>-631</v>
      </c>
      <c r="B656">
        <f>IFERROR(IF(GCD(euler_n,A656)=1,1,0),0)</f>
        <v>0</v>
      </c>
      <c r="C656" s="12"/>
      <c r="G656" s="7"/>
      <c r="H656" s="7"/>
    </row>
    <row r="657" spans="1:8">
      <c r="A657">
        <f t="shared" si="10"/>
        <v>-632</v>
      </c>
      <c r="B657">
        <f>IFERROR(IF(GCD(euler_n,A657)=1,1,0),0)</f>
        <v>0</v>
      </c>
      <c r="C657" s="12"/>
      <c r="G657" s="7"/>
      <c r="H657" s="7"/>
    </row>
    <row r="658" spans="1:8">
      <c r="A658">
        <f t="shared" si="10"/>
        <v>-633</v>
      </c>
      <c r="B658">
        <f>IFERROR(IF(GCD(euler_n,A658)=1,1,0),0)</f>
        <v>0</v>
      </c>
      <c r="C658" s="12"/>
      <c r="G658" s="7"/>
      <c r="H658" s="7"/>
    </row>
    <row r="659" spans="1:8">
      <c r="A659">
        <f t="shared" si="10"/>
        <v>-634</v>
      </c>
      <c r="B659">
        <f>IFERROR(IF(GCD(euler_n,A659)=1,1,0),0)</f>
        <v>0</v>
      </c>
      <c r="C659" s="12"/>
      <c r="G659" s="7"/>
      <c r="H659" s="7"/>
    </row>
    <row r="660" spans="1:8">
      <c r="A660">
        <f t="shared" si="10"/>
        <v>-635</v>
      </c>
      <c r="B660">
        <f>IFERROR(IF(GCD(euler_n,A660)=1,1,0),0)</f>
        <v>0</v>
      </c>
      <c r="C660" s="12"/>
      <c r="G660" s="7"/>
      <c r="H660" s="7"/>
    </row>
    <row r="661" spans="1:8">
      <c r="A661">
        <f t="shared" si="10"/>
        <v>-636</v>
      </c>
      <c r="B661">
        <f>IFERROR(IF(GCD(euler_n,A661)=1,1,0),0)</f>
        <v>0</v>
      </c>
      <c r="C661" s="12"/>
      <c r="G661" s="7"/>
      <c r="H661" s="7"/>
    </row>
    <row r="662" spans="1:8">
      <c r="A662">
        <f t="shared" si="10"/>
        <v>-637</v>
      </c>
      <c r="B662">
        <f>IFERROR(IF(GCD(euler_n,A662)=1,1,0),0)</f>
        <v>0</v>
      </c>
      <c r="C662" s="12"/>
      <c r="G662" s="7"/>
      <c r="H662" s="7"/>
    </row>
    <row r="663" spans="1:8">
      <c r="A663">
        <f t="shared" si="10"/>
        <v>-638</v>
      </c>
      <c r="B663">
        <f>IFERROR(IF(GCD(euler_n,A663)=1,1,0),0)</f>
        <v>0</v>
      </c>
      <c r="C663" s="12"/>
      <c r="G663" s="7"/>
      <c r="H663" s="7"/>
    </row>
    <row r="664" spans="1:8">
      <c r="A664">
        <f t="shared" si="10"/>
        <v>-639</v>
      </c>
      <c r="B664">
        <f>IFERROR(IF(GCD(euler_n,A664)=1,1,0),0)</f>
        <v>0</v>
      </c>
      <c r="C664" s="12"/>
      <c r="G664" s="7"/>
      <c r="H664" s="7"/>
    </row>
    <row r="665" spans="1:8">
      <c r="A665">
        <f t="shared" si="10"/>
        <v>-640</v>
      </c>
      <c r="B665">
        <f>IFERROR(IF(GCD(euler_n,A665)=1,1,0),0)</f>
        <v>0</v>
      </c>
      <c r="C665" s="12"/>
      <c r="G665" s="7"/>
      <c r="H665" s="7"/>
    </row>
    <row r="666" spans="1:8">
      <c r="A666">
        <f t="shared" si="10"/>
        <v>-641</v>
      </c>
      <c r="B666">
        <f>IFERROR(IF(GCD(euler_n,A666)=1,1,0),0)</f>
        <v>0</v>
      </c>
      <c r="C666" s="12"/>
      <c r="G666" s="7"/>
      <c r="H666" s="7"/>
    </row>
    <row r="667" spans="1:8">
      <c r="A667">
        <f t="shared" si="10"/>
        <v>-642</v>
      </c>
      <c r="B667">
        <f>IFERROR(IF(GCD(euler_n,A667)=1,1,0),0)</f>
        <v>0</v>
      </c>
      <c r="C667" s="12"/>
      <c r="G667" s="7"/>
      <c r="H667" s="7"/>
    </row>
    <row r="668" spans="1:8">
      <c r="A668">
        <f t="shared" si="10"/>
        <v>-643</v>
      </c>
      <c r="B668">
        <f>IFERROR(IF(GCD(euler_n,A668)=1,1,0),0)</f>
        <v>0</v>
      </c>
      <c r="C668" s="12"/>
      <c r="G668" s="7"/>
      <c r="H668" s="7"/>
    </row>
    <row r="669" spans="1:8">
      <c r="A669">
        <f t="shared" si="10"/>
        <v>-644</v>
      </c>
      <c r="B669">
        <f>IFERROR(IF(GCD(euler_n,A669)=1,1,0),0)</f>
        <v>0</v>
      </c>
      <c r="C669" s="12"/>
      <c r="G669" s="7"/>
      <c r="H669" s="7"/>
    </row>
    <row r="670" spans="1:8">
      <c r="A670">
        <f t="shared" si="10"/>
        <v>-645</v>
      </c>
      <c r="B670">
        <f>IFERROR(IF(GCD(euler_n,A670)=1,1,0),0)</f>
        <v>0</v>
      </c>
      <c r="C670" s="12"/>
      <c r="G670" s="7"/>
      <c r="H670" s="7"/>
    </row>
    <row r="671" spans="1:8">
      <c r="A671">
        <f t="shared" si="10"/>
        <v>-646</v>
      </c>
      <c r="B671">
        <f>IFERROR(IF(GCD(euler_n,A671)=1,1,0),0)</f>
        <v>0</v>
      </c>
      <c r="C671" s="12"/>
      <c r="G671" s="7"/>
      <c r="H671" s="7"/>
    </row>
    <row r="672" spans="1:8">
      <c r="A672">
        <f t="shared" si="10"/>
        <v>-647</v>
      </c>
      <c r="B672">
        <f>IFERROR(IF(GCD(euler_n,A672)=1,1,0),0)</f>
        <v>0</v>
      </c>
      <c r="C672" s="12"/>
      <c r="G672" s="7"/>
      <c r="H672" s="7"/>
    </row>
    <row r="673" spans="1:8">
      <c r="A673">
        <f t="shared" si="10"/>
        <v>-648</v>
      </c>
      <c r="B673">
        <f>IFERROR(IF(GCD(euler_n,A673)=1,1,0),0)</f>
        <v>0</v>
      </c>
      <c r="C673" s="12"/>
      <c r="G673" s="7"/>
      <c r="H673" s="7"/>
    </row>
    <row r="674" spans="1:8">
      <c r="A674">
        <f t="shared" si="10"/>
        <v>-649</v>
      </c>
      <c r="B674">
        <f>IFERROR(IF(GCD(euler_n,A674)=1,1,0),0)</f>
        <v>0</v>
      </c>
      <c r="C674" s="12"/>
      <c r="G674" s="7"/>
      <c r="H674" s="7"/>
    </row>
    <row r="675" spans="1:8">
      <c r="A675">
        <f t="shared" si="10"/>
        <v>-650</v>
      </c>
      <c r="B675">
        <f>IFERROR(IF(GCD(euler_n,A675)=1,1,0),0)</f>
        <v>0</v>
      </c>
      <c r="C675" s="12"/>
      <c r="G675" s="7"/>
      <c r="H675" s="7"/>
    </row>
    <row r="676" spans="1:8">
      <c r="A676">
        <f t="shared" ref="A676:A739" si="11">A675-1</f>
        <v>-651</v>
      </c>
      <c r="B676">
        <f>IFERROR(IF(GCD(euler_n,A676)=1,1,0),0)</f>
        <v>0</v>
      </c>
      <c r="C676" s="12"/>
      <c r="G676" s="7"/>
      <c r="H676" s="7"/>
    </row>
    <row r="677" spans="1:8">
      <c r="A677">
        <f t="shared" si="11"/>
        <v>-652</v>
      </c>
      <c r="B677">
        <f>IFERROR(IF(GCD(euler_n,A677)=1,1,0),0)</f>
        <v>0</v>
      </c>
      <c r="C677" s="12"/>
      <c r="G677" s="7"/>
      <c r="H677" s="7"/>
    </row>
    <row r="678" spans="1:8">
      <c r="A678">
        <f t="shared" si="11"/>
        <v>-653</v>
      </c>
      <c r="B678">
        <f>IFERROR(IF(GCD(euler_n,A678)=1,1,0),0)</f>
        <v>0</v>
      </c>
      <c r="C678" s="12"/>
      <c r="G678" s="7"/>
      <c r="H678" s="7"/>
    </row>
    <row r="679" spans="1:8">
      <c r="A679">
        <f t="shared" si="11"/>
        <v>-654</v>
      </c>
      <c r="B679">
        <f>IFERROR(IF(GCD(euler_n,A679)=1,1,0),0)</f>
        <v>0</v>
      </c>
      <c r="C679" s="12"/>
      <c r="G679" s="7"/>
      <c r="H679" s="7"/>
    </row>
    <row r="680" spans="1:8">
      <c r="A680">
        <f t="shared" si="11"/>
        <v>-655</v>
      </c>
      <c r="B680">
        <f>IFERROR(IF(GCD(euler_n,A680)=1,1,0),0)</f>
        <v>0</v>
      </c>
      <c r="C680" s="12"/>
      <c r="G680" s="7"/>
      <c r="H680" s="7"/>
    </row>
    <row r="681" spans="1:8">
      <c r="A681">
        <f t="shared" si="11"/>
        <v>-656</v>
      </c>
      <c r="B681">
        <f>IFERROR(IF(GCD(euler_n,A681)=1,1,0),0)</f>
        <v>0</v>
      </c>
      <c r="C681" s="12"/>
      <c r="G681" s="7"/>
      <c r="H681" s="7"/>
    </row>
    <row r="682" spans="1:8">
      <c r="A682">
        <f t="shared" si="11"/>
        <v>-657</v>
      </c>
      <c r="B682">
        <f>IFERROR(IF(GCD(euler_n,A682)=1,1,0),0)</f>
        <v>0</v>
      </c>
      <c r="C682" s="12"/>
      <c r="G682" s="7"/>
      <c r="H682" s="7"/>
    </row>
    <row r="683" spans="1:8">
      <c r="A683">
        <f t="shared" si="11"/>
        <v>-658</v>
      </c>
      <c r="B683">
        <f>IFERROR(IF(GCD(euler_n,A683)=1,1,0),0)</f>
        <v>0</v>
      </c>
      <c r="C683" s="12"/>
      <c r="G683" s="7"/>
      <c r="H683" s="7"/>
    </row>
    <row r="684" spans="1:8">
      <c r="A684">
        <f t="shared" si="11"/>
        <v>-659</v>
      </c>
      <c r="B684">
        <f>IFERROR(IF(GCD(euler_n,A684)=1,1,0),0)</f>
        <v>0</v>
      </c>
      <c r="C684" s="12"/>
      <c r="G684" s="7"/>
      <c r="H684" s="7"/>
    </row>
    <row r="685" spans="1:8">
      <c r="A685">
        <f t="shared" si="11"/>
        <v>-660</v>
      </c>
      <c r="B685">
        <f>IFERROR(IF(GCD(euler_n,A685)=1,1,0),0)</f>
        <v>0</v>
      </c>
      <c r="C685" s="12"/>
      <c r="G685" s="7"/>
      <c r="H685" s="7"/>
    </row>
    <row r="686" spans="1:8">
      <c r="A686">
        <f t="shared" si="11"/>
        <v>-661</v>
      </c>
      <c r="B686">
        <f>IFERROR(IF(GCD(euler_n,A686)=1,1,0),0)</f>
        <v>0</v>
      </c>
      <c r="C686" s="12"/>
      <c r="G686" s="7"/>
      <c r="H686" s="7"/>
    </row>
    <row r="687" spans="1:8">
      <c r="A687">
        <f t="shared" si="11"/>
        <v>-662</v>
      </c>
      <c r="B687">
        <f>IFERROR(IF(GCD(euler_n,A687)=1,1,0),0)</f>
        <v>0</v>
      </c>
      <c r="C687" s="12"/>
      <c r="G687" s="7"/>
      <c r="H687" s="7"/>
    </row>
    <row r="688" spans="1:8">
      <c r="A688">
        <f t="shared" si="11"/>
        <v>-663</v>
      </c>
      <c r="B688">
        <f>IFERROR(IF(GCD(euler_n,A688)=1,1,0),0)</f>
        <v>0</v>
      </c>
      <c r="C688" s="12"/>
      <c r="G688" s="7"/>
      <c r="H688" s="7"/>
    </row>
    <row r="689" spans="1:8">
      <c r="A689">
        <f t="shared" si="11"/>
        <v>-664</v>
      </c>
      <c r="B689">
        <f>IFERROR(IF(GCD(euler_n,A689)=1,1,0),0)</f>
        <v>0</v>
      </c>
      <c r="C689" s="12"/>
      <c r="G689" s="7"/>
      <c r="H689" s="7"/>
    </row>
    <row r="690" spans="1:8">
      <c r="A690">
        <f t="shared" si="11"/>
        <v>-665</v>
      </c>
      <c r="B690">
        <f>IFERROR(IF(GCD(euler_n,A690)=1,1,0),0)</f>
        <v>0</v>
      </c>
      <c r="C690" s="12"/>
      <c r="G690" s="7"/>
      <c r="H690" s="7"/>
    </row>
    <row r="691" spans="1:8">
      <c r="A691">
        <f t="shared" si="11"/>
        <v>-666</v>
      </c>
      <c r="B691">
        <f>IFERROR(IF(GCD(euler_n,A691)=1,1,0),0)</f>
        <v>0</v>
      </c>
      <c r="C691" s="12"/>
      <c r="G691" s="7"/>
      <c r="H691" s="7"/>
    </row>
    <row r="692" spans="1:8">
      <c r="A692">
        <f t="shared" si="11"/>
        <v>-667</v>
      </c>
      <c r="B692">
        <f>IFERROR(IF(GCD(euler_n,A692)=1,1,0),0)</f>
        <v>0</v>
      </c>
      <c r="C692" s="12"/>
      <c r="G692" s="7"/>
      <c r="H692" s="7"/>
    </row>
    <row r="693" spans="1:8">
      <c r="A693">
        <f t="shared" si="11"/>
        <v>-668</v>
      </c>
      <c r="B693">
        <f>IFERROR(IF(GCD(euler_n,A693)=1,1,0),0)</f>
        <v>0</v>
      </c>
      <c r="C693" s="12"/>
      <c r="G693" s="7"/>
      <c r="H693" s="7"/>
    </row>
    <row r="694" spans="1:8">
      <c r="A694">
        <f t="shared" si="11"/>
        <v>-669</v>
      </c>
      <c r="B694">
        <f>IFERROR(IF(GCD(euler_n,A694)=1,1,0),0)</f>
        <v>0</v>
      </c>
      <c r="C694" s="12"/>
      <c r="G694" s="7"/>
      <c r="H694" s="7"/>
    </row>
    <row r="695" spans="1:8">
      <c r="A695">
        <f t="shared" si="11"/>
        <v>-670</v>
      </c>
      <c r="B695">
        <f>IFERROR(IF(GCD(euler_n,A695)=1,1,0),0)</f>
        <v>0</v>
      </c>
      <c r="C695" s="12"/>
      <c r="G695" s="7"/>
      <c r="H695" s="7"/>
    </row>
    <row r="696" spans="1:8">
      <c r="A696">
        <f t="shared" si="11"/>
        <v>-671</v>
      </c>
      <c r="B696">
        <f>IFERROR(IF(GCD(euler_n,A696)=1,1,0),0)</f>
        <v>0</v>
      </c>
      <c r="C696" s="12"/>
      <c r="G696" s="7"/>
      <c r="H696" s="7"/>
    </row>
    <row r="697" spans="1:8">
      <c r="A697">
        <f t="shared" si="11"/>
        <v>-672</v>
      </c>
      <c r="B697">
        <f>IFERROR(IF(GCD(euler_n,A697)=1,1,0),0)</f>
        <v>0</v>
      </c>
      <c r="C697" s="12"/>
      <c r="G697" s="7"/>
      <c r="H697" s="7"/>
    </row>
    <row r="698" spans="1:8">
      <c r="A698">
        <f t="shared" si="11"/>
        <v>-673</v>
      </c>
      <c r="B698">
        <f>IFERROR(IF(GCD(euler_n,A698)=1,1,0),0)</f>
        <v>0</v>
      </c>
      <c r="C698" s="12"/>
      <c r="G698" s="7"/>
      <c r="H698" s="7"/>
    </row>
    <row r="699" spans="1:8">
      <c r="A699">
        <f t="shared" si="11"/>
        <v>-674</v>
      </c>
      <c r="B699">
        <f>IFERROR(IF(GCD(euler_n,A699)=1,1,0),0)</f>
        <v>0</v>
      </c>
      <c r="C699" s="12"/>
      <c r="G699" s="7"/>
      <c r="H699" s="7"/>
    </row>
    <row r="700" spans="1:8">
      <c r="A700">
        <f t="shared" si="11"/>
        <v>-675</v>
      </c>
      <c r="B700">
        <f>IFERROR(IF(GCD(euler_n,A700)=1,1,0),0)</f>
        <v>0</v>
      </c>
      <c r="C700" s="12"/>
      <c r="G700" s="7"/>
      <c r="H700" s="7"/>
    </row>
    <row r="701" spans="1:8">
      <c r="A701">
        <f t="shared" si="11"/>
        <v>-676</v>
      </c>
      <c r="B701">
        <f>IFERROR(IF(GCD(euler_n,A701)=1,1,0),0)</f>
        <v>0</v>
      </c>
      <c r="C701" s="12"/>
      <c r="G701" s="7"/>
      <c r="H701" s="7"/>
    </row>
    <row r="702" spans="1:8">
      <c r="A702">
        <f t="shared" si="11"/>
        <v>-677</v>
      </c>
      <c r="B702">
        <f>IFERROR(IF(GCD(euler_n,A702)=1,1,0),0)</f>
        <v>0</v>
      </c>
      <c r="C702" s="12"/>
      <c r="G702" s="7"/>
      <c r="H702" s="7"/>
    </row>
    <row r="703" spans="1:8">
      <c r="A703">
        <f t="shared" si="11"/>
        <v>-678</v>
      </c>
      <c r="B703">
        <f>IFERROR(IF(GCD(euler_n,A703)=1,1,0),0)</f>
        <v>0</v>
      </c>
      <c r="C703" s="12"/>
      <c r="G703" s="7"/>
      <c r="H703" s="7"/>
    </row>
    <row r="704" spans="1:8">
      <c r="A704">
        <f t="shared" si="11"/>
        <v>-679</v>
      </c>
      <c r="B704">
        <f>IFERROR(IF(GCD(euler_n,A704)=1,1,0),0)</f>
        <v>0</v>
      </c>
      <c r="C704" s="12"/>
      <c r="G704" s="7"/>
      <c r="H704" s="7"/>
    </row>
    <row r="705" spans="1:8">
      <c r="A705">
        <f t="shared" si="11"/>
        <v>-680</v>
      </c>
      <c r="B705">
        <f>IFERROR(IF(GCD(euler_n,A705)=1,1,0),0)</f>
        <v>0</v>
      </c>
      <c r="C705" s="12"/>
      <c r="G705" s="7"/>
      <c r="H705" s="7"/>
    </row>
    <row r="706" spans="1:8">
      <c r="A706">
        <f t="shared" si="11"/>
        <v>-681</v>
      </c>
      <c r="B706">
        <f>IFERROR(IF(GCD(euler_n,A706)=1,1,0),0)</f>
        <v>0</v>
      </c>
      <c r="C706" s="12"/>
      <c r="G706" s="7"/>
      <c r="H706" s="7"/>
    </row>
    <row r="707" spans="1:8">
      <c r="A707">
        <f t="shared" si="11"/>
        <v>-682</v>
      </c>
      <c r="B707">
        <f>IFERROR(IF(GCD(euler_n,A707)=1,1,0),0)</f>
        <v>0</v>
      </c>
      <c r="C707" s="12"/>
      <c r="G707" s="7"/>
      <c r="H707" s="7"/>
    </row>
    <row r="708" spans="1:8">
      <c r="A708">
        <f t="shared" si="11"/>
        <v>-683</v>
      </c>
      <c r="B708">
        <f>IFERROR(IF(GCD(euler_n,A708)=1,1,0),0)</f>
        <v>0</v>
      </c>
      <c r="C708" s="12"/>
      <c r="G708" s="7"/>
      <c r="H708" s="7"/>
    </row>
    <row r="709" spans="1:8">
      <c r="A709">
        <f t="shared" si="11"/>
        <v>-684</v>
      </c>
      <c r="B709">
        <f>IFERROR(IF(GCD(euler_n,A709)=1,1,0),0)</f>
        <v>0</v>
      </c>
      <c r="C709" s="12"/>
      <c r="G709" s="7"/>
      <c r="H709" s="7"/>
    </row>
    <row r="710" spans="1:8">
      <c r="A710">
        <f t="shared" si="11"/>
        <v>-685</v>
      </c>
      <c r="B710">
        <f>IFERROR(IF(GCD(euler_n,A710)=1,1,0),0)</f>
        <v>0</v>
      </c>
      <c r="C710" s="12"/>
      <c r="G710" s="7"/>
      <c r="H710" s="7"/>
    </row>
    <row r="711" spans="1:8">
      <c r="A711">
        <f t="shared" si="11"/>
        <v>-686</v>
      </c>
      <c r="B711">
        <f>IFERROR(IF(GCD(euler_n,A711)=1,1,0),0)</f>
        <v>0</v>
      </c>
      <c r="C711" s="12"/>
      <c r="G711" s="7"/>
      <c r="H711" s="7"/>
    </row>
    <row r="712" spans="1:8">
      <c r="A712">
        <f t="shared" si="11"/>
        <v>-687</v>
      </c>
      <c r="B712">
        <f>IFERROR(IF(GCD(euler_n,A712)=1,1,0),0)</f>
        <v>0</v>
      </c>
      <c r="C712" s="12"/>
      <c r="G712" s="7"/>
      <c r="H712" s="7"/>
    </row>
    <row r="713" spans="1:8">
      <c r="A713">
        <f t="shared" si="11"/>
        <v>-688</v>
      </c>
      <c r="B713">
        <f>IFERROR(IF(GCD(euler_n,A713)=1,1,0),0)</f>
        <v>0</v>
      </c>
      <c r="C713" s="12"/>
      <c r="G713" s="7"/>
      <c r="H713" s="7"/>
    </row>
    <row r="714" spans="1:8">
      <c r="A714">
        <f t="shared" si="11"/>
        <v>-689</v>
      </c>
      <c r="B714">
        <f>IFERROR(IF(GCD(euler_n,A714)=1,1,0),0)</f>
        <v>0</v>
      </c>
      <c r="C714" s="12"/>
      <c r="G714" s="7"/>
      <c r="H714" s="7"/>
    </row>
    <row r="715" spans="1:8">
      <c r="A715">
        <f t="shared" si="11"/>
        <v>-690</v>
      </c>
      <c r="B715">
        <f>IFERROR(IF(GCD(euler_n,A715)=1,1,0),0)</f>
        <v>0</v>
      </c>
      <c r="C715" s="12"/>
      <c r="G715" s="7"/>
      <c r="H715" s="7"/>
    </row>
    <row r="716" spans="1:8">
      <c r="A716">
        <f t="shared" si="11"/>
        <v>-691</v>
      </c>
      <c r="B716">
        <f>IFERROR(IF(GCD(euler_n,A716)=1,1,0),0)</f>
        <v>0</v>
      </c>
      <c r="C716" s="12"/>
      <c r="G716" s="7"/>
      <c r="H716" s="7"/>
    </row>
    <row r="717" spans="1:8">
      <c r="A717">
        <f t="shared" si="11"/>
        <v>-692</v>
      </c>
      <c r="B717">
        <f>IFERROR(IF(GCD(euler_n,A717)=1,1,0),0)</f>
        <v>0</v>
      </c>
      <c r="C717" s="12"/>
      <c r="G717" s="7"/>
      <c r="H717" s="7"/>
    </row>
    <row r="718" spans="1:8">
      <c r="A718">
        <f t="shared" si="11"/>
        <v>-693</v>
      </c>
      <c r="B718">
        <f>IFERROR(IF(GCD(euler_n,A718)=1,1,0),0)</f>
        <v>0</v>
      </c>
      <c r="C718" s="12"/>
      <c r="G718" s="7"/>
      <c r="H718" s="7"/>
    </row>
    <row r="719" spans="1:8">
      <c r="A719">
        <f t="shared" si="11"/>
        <v>-694</v>
      </c>
      <c r="B719">
        <f>IFERROR(IF(GCD(euler_n,A719)=1,1,0),0)</f>
        <v>0</v>
      </c>
      <c r="C719" s="12"/>
      <c r="G719" s="7"/>
      <c r="H719" s="7"/>
    </row>
    <row r="720" spans="1:8">
      <c r="A720">
        <f t="shared" si="11"/>
        <v>-695</v>
      </c>
      <c r="B720">
        <f>IFERROR(IF(GCD(euler_n,A720)=1,1,0),0)</f>
        <v>0</v>
      </c>
      <c r="C720" s="12"/>
      <c r="G720" s="7"/>
      <c r="H720" s="7"/>
    </row>
    <row r="721" spans="1:8">
      <c r="A721">
        <f t="shared" si="11"/>
        <v>-696</v>
      </c>
      <c r="B721">
        <f>IFERROR(IF(GCD(euler_n,A721)=1,1,0),0)</f>
        <v>0</v>
      </c>
      <c r="C721" s="12"/>
      <c r="G721" s="7"/>
      <c r="H721" s="7"/>
    </row>
    <row r="722" spans="1:8">
      <c r="A722">
        <f t="shared" si="11"/>
        <v>-697</v>
      </c>
      <c r="B722">
        <f>IFERROR(IF(GCD(euler_n,A722)=1,1,0),0)</f>
        <v>0</v>
      </c>
      <c r="C722" s="12"/>
      <c r="G722" s="7"/>
      <c r="H722" s="7"/>
    </row>
    <row r="723" spans="1:8">
      <c r="A723">
        <f t="shared" si="11"/>
        <v>-698</v>
      </c>
      <c r="B723">
        <f>IFERROR(IF(GCD(euler_n,A723)=1,1,0),0)</f>
        <v>0</v>
      </c>
      <c r="C723" s="12"/>
      <c r="G723" s="7"/>
      <c r="H723" s="7"/>
    </row>
    <row r="724" spans="1:8">
      <c r="A724">
        <f t="shared" si="11"/>
        <v>-699</v>
      </c>
      <c r="B724">
        <f>IFERROR(IF(GCD(euler_n,A724)=1,1,0),0)</f>
        <v>0</v>
      </c>
      <c r="C724" s="12"/>
      <c r="G724" s="7"/>
      <c r="H724" s="7"/>
    </row>
    <row r="725" spans="1:8">
      <c r="A725">
        <f t="shared" si="11"/>
        <v>-700</v>
      </c>
      <c r="B725">
        <f>IFERROR(IF(GCD(euler_n,A725)=1,1,0),0)</f>
        <v>0</v>
      </c>
      <c r="C725" s="12"/>
      <c r="G725" s="7"/>
      <c r="H725" s="7"/>
    </row>
    <row r="726" spans="1:8">
      <c r="A726">
        <f t="shared" si="11"/>
        <v>-701</v>
      </c>
      <c r="B726">
        <f>IFERROR(IF(GCD(euler_n,A726)=1,1,0),0)</f>
        <v>0</v>
      </c>
      <c r="C726" s="12"/>
      <c r="G726" s="7"/>
      <c r="H726" s="7"/>
    </row>
    <row r="727" spans="1:8">
      <c r="A727">
        <f t="shared" si="11"/>
        <v>-702</v>
      </c>
      <c r="B727">
        <f>IFERROR(IF(GCD(euler_n,A727)=1,1,0),0)</f>
        <v>0</v>
      </c>
      <c r="C727" s="12"/>
      <c r="G727" s="7"/>
      <c r="H727" s="7"/>
    </row>
    <row r="728" spans="1:8">
      <c r="A728">
        <f t="shared" si="11"/>
        <v>-703</v>
      </c>
      <c r="B728">
        <f>IFERROR(IF(GCD(euler_n,A728)=1,1,0),0)</f>
        <v>0</v>
      </c>
      <c r="C728" s="12"/>
      <c r="G728" s="7"/>
      <c r="H728" s="7"/>
    </row>
    <row r="729" spans="1:8">
      <c r="A729">
        <f t="shared" si="11"/>
        <v>-704</v>
      </c>
      <c r="B729">
        <f>IFERROR(IF(GCD(euler_n,A729)=1,1,0),0)</f>
        <v>0</v>
      </c>
      <c r="C729" s="12"/>
      <c r="G729" s="7"/>
      <c r="H729" s="7"/>
    </row>
    <row r="730" spans="1:8">
      <c r="A730">
        <f t="shared" si="11"/>
        <v>-705</v>
      </c>
      <c r="B730">
        <f>IFERROR(IF(GCD(euler_n,A730)=1,1,0),0)</f>
        <v>0</v>
      </c>
      <c r="C730" s="12"/>
      <c r="G730" s="7"/>
      <c r="H730" s="7"/>
    </row>
    <row r="731" spans="1:8">
      <c r="A731">
        <f t="shared" si="11"/>
        <v>-706</v>
      </c>
      <c r="B731">
        <f>IFERROR(IF(GCD(euler_n,A731)=1,1,0),0)</f>
        <v>0</v>
      </c>
      <c r="C731" s="12"/>
      <c r="G731" s="7"/>
      <c r="H731" s="7"/>
    </row>
    <row r="732" spans="1:8">
      <c r="A732">
        <f t="shared" si="11"/>
        <v>-707</v>
      </c>
      <c r="B732">
        <f>IFERROR(IF(GCD(euler_n,A732)=1,1,0),0)</f>
        <v>0</v>
      </c>
      <c r="C732" s="12"/>
      <c r="G732" s="7"/>
      <c r="H732" s="7"/>
    </row>
    <row r="733" spans="1:8">
      <c r="A733">
        <f t="shared" si="11"/>
        <v>-708</v>
      </c>
      <c r="B733">
        <f>IFERROR(IF(GCD(euler_n,A733)=1,1,0),0)</f>
        <v>0</v>
      </c>
      <c r="C733" s="12"/>
      <c r="G733" s="7"/>
      <c r="H733" s="7"/>
    </row>
    <row r="734" spans="1:8">
      <c r="A734">
        <f t="shared" si="11"/>
        <v>-709</v>
      </c>
      <c r="B734">
        <f>IFERROR(IF(GCD(euler_n,A734)=1,1,0),0)</f>
        <v>0</v>
      </c>
      <c r="C734" s="12"/>
      <c r="G734" s="7"/>
      <c r="H734" s="7"/>
    </row>
    <row r="735" spans="1:8">
      <c r="A735">
        <f t="shared" si="11"/>
        <v>-710</v>
      </c>
      <c r="B735">
        <f>IFERROR(IF(GCD(euler_n,A735)=1,1,0),0)</f>
        <v>0</v>
      </c>
      <c r="C735" s="12"/>
      <c r="G735" s="7"/>
      <c r="H735" s="7"/>
    </row>
    <row r="736" spans="1:8">
      <c r="A736">
        <f t="shared" si="11"/>
        <v>-711</v>
      </c>
      <c r="B736">
        <f>IFERROR(IF(GCD(euler_n,A736)=1,1,0),0)</f>
        <v>0</v>
      </c>
      <c r="C736" s="12"/>
      <c r="G736" s="7"/>
      <c r="H736" s="7"/>
    </row>
    <row r="737" spans="1:8">
      <c r="A737">
        <f t="shared" si="11"/>
        <v>-712</v>
      </c>
      <c r="B737">
        <f>IFERROR(IF(GCD(euler_n,A737)=1,1,0),0)</f>
        <v>0</v>
      </c>
      <c r="C737" s="12"/>
      <c r="G737" s="7"/>
      <c r="H737" s="7"/>
    </row>
    <row r="738" spans="1:8">
      <c r="A738">
        <f t="shared" si="11"/>
        <v>-713</v>
      </c>
      <c r="B738">
        <f>IFERROR(IF(GCD(euler_n,A738)=1,1,0),0)</f>
        <v>0</v>
      </c>
      <c r="C738" s="12"/>
      <c r="G738" s="7"/>
      <c r="H738" s="7"/>
    </row>
    <row r="739" spans="1:8">
      <c r="A739">
        <f t="shared" si="11"/>
        <v>-714</v>
      </c>
      <c r="B739">
        <f>IFERROR(IF(GCD(euler_n,A739)=1,1,0),0)</f>
        <v>0</v>
      </c>
      <c r="C739" s="12"/>
      <c r="G739" s="7"/>
      <c r="H739" s="7"/>
    </row>
    <row r="740" spans="1:8">
      <c r="A740">
        <f t="shared" ref="A740:A803" si="12">A739-1</f>
        <v>-715</v>
      </c>
      <c r="B740">
        <f>IFERROR(IF(GCD(euler_n,A740)=1,1,0),0)</f>
        <v>0</v>
      </c>
      <c r="C740" s="12"/>
      <c r="G740" s="7"/>
      <c r="H740" s="7"/>
    </row>
    <row r="741" spans="1:8">
      <c r="A741">
        <f t="shared" si="12"/>
        <v>-716</v>
      </c>
      <c r="B741">
        <f>IFERROR(IF(GCD(euler_n,A741)=1,1,0),0)</f>
        <v>0</v>
      </c>
      <c r="C741" s="12"/>
      <c r="G741" s="7"/>
      <c r="H741" s="7"/>
    </row>
    <row r="742" spans="1:8">
      <c r="A742">
        <f t="shared" si="12"/>
        <v>-717</v>
      </c>
      <c r="B742">
        <f>IFERROR(IF(GCD(euler_n,A742)=1,1,0),0)</f>
        <v>0</v>
      </c>
      <c r="C742" s="12"/>
      <c r="G742" s="7"/>
      <c r="H742" s="7"/>
    </row>
    <row r="743" spans="1:8">
      <c r="A743">
        <f t="shared" si="12"/>
        <v>-718</v>
      </c>
      <c r="B743">
        <f>IFERROR(IF(GCD(euler_n,A743)=1,1,0),0)</f>
        <v>0</v>
      </c>
      <c r="C743" s="12"/>
      <c r="G743" s="7"/>
      <c r="H743" s="7"/>
    </row>
    <row r="744" spans="1:8">
      <c r="A744">
        <f t="shared" si="12"/>
        <v>-719</v>
      </c>
      <c r="B744">
        <f>IFERROR(IF(GCD(euler_n,A744)=1,1,0),0)</f>
        <v>0</v>
      </c>
      <c r="C744" s="12"/>
      <c r="G744" s="7"/>
      <c r="H744" s="7"/>
    </row>
    <row r="745" spans="1:8">
      <c r="A745">
        <f t="shared" si="12"/>
        <v>-720</v>
      </c>
      <c r="B745">
        <f>IFERROR(IF(GCD(euler_n,A745)=1,1,0),0)</f>
        <v>0</v>
      </c>
      <c r="C745" s="12"/>
      <c r="G745" s="7"/>
      <c r="H745" s="7"/>
    </row>
    <row r="746" spans="1:8">
      <c r="A746">
        <f t="shared" si="12"/>
        <v>-721</v>
      </c>
      <c r="B746">
        <f>IFERROR(IF(GCD(euler_n,A746)=1,1,0),0)</f>
        <v>0</v>
      </c>
      <c r="C746" s="12"/>
      <c r="G746" s="7"/>
      <c r="H746" s="7"/>
    </row>
    <row r="747" spans="1:8">
      <c r="A747">
        <f t="shared" si="12"/>
        <v>-722</v>
      </c>
      <c r="B747">
        <f>IFERROR(IF(GCD(euler_n,A747)=1,1,0),0)</f>
        <v>0</v>
      </c>
      <c r="C747" s="12"/>
      <c r="G747" s="7"/>
      <c r="H747" s="7"/>
    </row>
    <row r="748" spans="1:8">
      <c r="A748">
        <f t="shared" si="12"/>
        <v>-723</v>
      </c>
      <c r="B748">
        <f>IFERROR(IF(GCD(euler_n,A748)=1,1,0),0)</f>
        <v>0</v>
      </c>
      <c r="C748" s="12"/>
      <c r="G748" s="7"/>
      <c r="H748" s="7"/>
    </row>
    <row r="749" spans="1:8">
      <c r="A749">
        <f t="shared" si="12"/>
        <v>-724</v>
      </c>
      <c r="B749">
        <f>IFERROR(IF(GCD(euler_n,A749)=1,1,0),0)</f>
        <v>0</v>
      </c>
      <c r="C749" s="12"/>
      <c r="G749" s="7"/>
      <c r="H749" s="7"/>
    </row>
    <row r="750" spans="1:8">
      <c r="A750">
        <f t="shared" si="12"/>
        <v>-725</v>
      </c>
      <c r="B750">
        <f>IFERROR(IF(GCD(euler_n,A750)=1,1,0),0)</f>
        <v>0</v>
      </c>
      <c r="C750" s="12"/>
      <c r="G750" s="7"/>
      <c r="H750" s="7"/>
    </row>
    <row r="751" spans="1:8">
      <c r="A751">
        <f t="shared" si="12"/>
        <v>-726</v>
      </c>
      <c r="B751">
        <f>IFERROR(IF(GCD(euler_n,A751)=1,1,0),0)</f>
        <v>0</v>
      </c>
      <c r="C751" s="12"/>
      <c r="G751" s="7"/>
      <c r="H751" s="7"/>
    </row>
    <row r="752" spans="1:8">
      <c r="A752">
        <f t="shared" si="12"/>
        <v>-727</v>
      </c>
      <c r="B752">
        <f>IFERROR(IF(GCD(euler_n,A752)=1,1,0),0)</f>
        <v>0</v>
      </c>
      <c r="C752" s="12"/>
      <c r="G752" s="7"/>
      <c r="H752" s="7"/>
    </row>
    <row r="753" spans="1:8">
      <c r="A753">
        <f t="shared" si="12"/>
        <v>-728</v>
      </c>
      <c r="B753">
        <f>IFERROR(IF(GCD(euler_n,A753)=1,1,0),0)</f>
        <v>0</v>
      </c>
      <c r="C753" s="12"/>
      <c r="G753" s="7"/>
      <c r="H753" s="7"/>
    </row>
    <row r="754" spans="1:8">
      <c r="A754">
        <f t="shared" si="12"/>
        <v>-729</v>
      </c>
      <c r="B754">
        <f>IFERROR(IF(GCD(euler_n,A754)=1,1,0),0)</f>
        <v>0</v>
      </c>
      <c r="C754" s="12"/>
      <c r="G754" s="7"/>
      <c r="H754" s="7"/>
    </row>
    <row r="755" spans="1:8">
      <c r="A755">
        <f t="shared" si="12"/>
        <v>-730</v>
      </c>
      <c r="B755">
        <f>IFERROR(IF(GCD(euler_n,A755)=1,1,0),0)</f>
        <v>0</v>
      </c>
      <c r="C755" s="12"/>
      <c r="G755" s="7"/>
      <c r="H755" s="7"/>
    </row>
    <row r="756" spans="1:8">
      <c r="A756">
        <f t="shared" si="12"/>
        <v>-731</v>
      </c>
      <c r="B756">
        <f>IFERROR(IF(GCD(euler_n,A756)=1,1,0),0)</f>
        <v>0</v>
      </c>
      <c r="C756" s="12"/>
      <c r="G756" s="7"/>
      <c r="H756" s="7"/>
    </row>
    <row r="757" spans="1:8">
      <c r="A757">
        <f t="shared" si="12"/>
        <v>-732</v>
      </c>
      <c r="B757">
        <f>IFERROR(IF(GCD(euler_n,A757)=1,1,0),0)</f>
        <v>0</v>
      </c>
      <c r="C757" s="12"/>
      <c r="G757" s="7"/>
      <c r="H757" s="7"/>
    </row>
    <row r="758" spans="1:8">
      <c r="A758">
        <f t="shared" si="12"/>
        <v>-733</v>
      </c>
      <c r="B758">
        <f>IFERROR(IF(GCD(euler_n,A758)=1,1,0),0)</f>
        <v>0</v>
      </c>
      <c r="C758" s="12"/>
      <c r="G758" s="7"/>
      <c r="H758" s="7"/>
    </row>
    <row r="759" spans="1:8">
      <c r="A759">
        <f t="shared" si="12"/>
        <v>-734</v>
      </c>
      <c r="B759">
        <f>IFERROR(IF(GCD(euler_n,A759)=1,1,0),0)</f>
        <v>0</v>
      </c>
      <c r="C759" s="12"/>
      <c r="G759" s="7"/>
      <c r="H759" s="7"/>
    </row>
    <row r="760" spans="1:8">
      <c r="A760">
        <f t="shared" si="12"/>
        <v>-735</v>
      </c>
      <c r="B760">
        <f>IFERROR(IF(GCD(euler_n,A760)=1,1,0),0)</f>
        <v>0</v>
      </c>
      <c r="C760" s="12"/>
      <c r="G760" s="7"/>
      <c r="H760" s="7"/>
    </row>
    <row r="761" spans="1:8">
      <c r="A761">
        <f t="shared" si="12"/>
        <v>-736</v>
      </c>
      <c r="B761">
        <f>IFERROR(IF(GCD(euler_n,A761)=1,1,0),0)</f>
        <v>0</v>
      </c>
      <c r="C761" s="12"/>
      <c r="G761" s="7"/>
      <c r="H761" s="7"/>
    </row>
    <row r="762" spans="1:8">
      <c r="A762">
        <f t="shared" si="12"/>
        <v>-737</v>
      </c>
      <c r="B762">
        <f>IFERROR(IF(GCD(euler_n,A762)=1,1,0),0)</f>
        <v>0</v>
      </c>
      <c r="C762" s="12"/>
      <c r="G762" s="7"/>
      <c r="H762" s="7"/>
    </row>
    <row r="763" spans="1:8">
      <c r="A763">
        <f t="shared" si="12"/>
        <v>-738</v>
      </c>
      <c r="B763">
        <f>IFERROR(IF(GCD(euler_n,A763)=1,1,0),0)</f>
        <v>0</v>
      </c>
      <c r="C763" s="12"/>
      <c r="G763" s="7"/>
      <c r="H763" s="7"/>
    </row>
    <row r="764" spans="1:8">
      <c r="A764">
        <f t="shared" si="12"/>
        <v>-739</v>
      </c>
      <c r="B764">
        <f>IFERROR(IF(GCD(euler_n,A764)=1,1,0),0)</f>
        <v>0</v>
      </c>
      <c r="C764" s="12"/>
      <c r="G764" s="7"/>
      <c r="H764" s="7"/>
    </row>
    <row r="765" spans="1:8">
      <c r="A765">
        <f t="shared" si="12"/>
        <v>-740</v>
      </c>
      <c r="B765">
        <f>IFERROR(IF(GCD(euler_n,A765)=1,1,0),0)</f>
        <v>0</v>
      </c>
      <c r="C765" s="12"/>
      <c r="G765" s="7"/>
      <c r="H765" s="7"/>
    </row>
    <row r="766" spans="1:8">
      <c r="A766">
        <f t="shared" si="12"/>
        <v>-741</v>
      </c>
      <c r="B766">
        <f>IFERROR(IF(GCD(euler_n,A766)=1,1,0),0)</f>
        <v>0</v>
      </c>
      <c r="C766" s="12"/>
      <c r="G766" s="7"/>
      <c r="H766" s="7"/>
    </row>
    <row r="767" spans="1:8">
      <c r="A767">
        <f t="shared" si="12"/>
        <v>-742</v>
      </c>
      <c r="B767">
        <f>IFERROR(IF(GCD(euler_n,A767)=1,1,0),0)</f>
        <v>0</v>
      </c>
      <c r="C767" s="12"/>
      <c r="G767" s="7"/>
      <c r="H767" s="7"/>
    </row>
    <row r="768" spans="1:8">
      <c r="A768">
        <f t="shared" si="12"/>
        <v>-743</v>
      </c>
      <c r="B768">
        <f>IFERROR(IF(GCD(euler_n,A768)=1,1,0),0)</f>
        <v>0</v>
      </c>
      <c r="C768" s="12"/>
      <c r="G768" s="7"/>
      <c r="H768" s="7"/>
    </row>
    <row r="769" spans="1:8">
      <c r="A769">
        <f t="shared" si="12"/>
        <v>-744</v>
      </c>
      <c r="B769">
        <f>IFERROR(IF(GCD(euler_n,A769)=1,1,0),0)</f>
        <v>0</v>
      </c>
      <c r="C769" s="12"/>
      <c r="G769" s="7"/>
      <c r="H769" s="7"/>
    </row>
    <row r="770" spans="1:8">
      <c r="A770">
        <f t="shared" si="12"/>
        <v>-745</v>
      </c>
      <c r="B770">
        <f>IFERROR(IF(GCD(euler_n,A770)=1,1,0),0)</f>
        <v>0</v>
      </c>
      <c r="C770" s="12"/>
      <c r="G770" s="7"/>
      <c r="H770" s="7"/>
    </row>
    <row r="771" spans="1:8">
      <c r="A771">
        <f t="shared" si="12"/>
        <v>-746</v>
      </c>
      <c r="B771">
        <f>IFERROR(IF(GCD(euler_n,A771)=1,1,0),0)</f>
        <v>0</v>
      </c>
      <c r="C771" s="12"/>
      <c r="G771" s="7"/>
      <c r="H771" s="7"/>
    </row>
    <row r="772" spans="1:8">
      <c r="A772">
        <f t="shared" si="12"/>
        <v>-747</v>
      </c>
      <c r="B772">
        <f>IFERROR(IF(GCD(euler_n,A772)=1,1,0),0)</f>
        <v>0</v>
      </c>
      <c r="C772" s="12"/>
      <c r="G772" s="7"/>
      <c r="H772" s="7"/>
    </row>
    <row r="773" spans="1:8">
      <c r="A773">
        <f t="shared" si="12"/>
        <v>-748</v>
      </c>
      <c r="B773">
        <f>IFERROR(IF(GCD(euler_n,A773)=1,1,0),0)</f>
        <v>0</v>
      </c>
      <c r="C773" s="12"/>
      <c r="G773" s="7"/>
      <c r="H773" s="7"/>
    </row>
    <row r="774" spans="1:8">
      <c r="A774">
        <f t="shared" si="12"/>
        <v>-749</v>
      </c>
      <c r="B774">
        <f>IFERROR(IF(GCD(euler_n,A774)=1,1,0),0)</f>
        <v>0</v>
      </c>
      <c r="C774" s="12"/>
      <c r="G774" s="7"/>
      <c r="H774" s="7"/>
    </row>
    <row r="775" spans="1:8">
      <c r="A775">
        <f t="shared" si="12"/>
        <v>-750</v>
      </c>
      <c r="B775">
        <f>IFERROR(IF(GCD(euler_n,A775)=1,1,0),0)</f>
        <v>0</v>
      </c>
      <c r="C775" s="12"/>
      <c r="G775" s="7"/>
      <c r="H775" s="7"/>
    </row>
    <row r="776" spans="1:8">
      <c r="A776">
        <f t="shared" si="12"/>
        <v>-751</v>
      </c>
      <c r="B776">
        <f>IFERROR(IF(GCD(euler_n,A776)=1,1,0),0)</f>
        <v>0</v>
      </c>
      <c r="C776" s="12"/>
      <c r="G776" s="7"/>
      <c r="H776" s="7"/>
    </row>
    <row r="777" spans="1:8">
      <c r="A777">
        <f t="shared" si="12"/>
        <v>-752</v>
      </c>
      <c r="B777">
        <f>IFERROR(IF(GCD(euler_n,A777)=1,1,0),0)</f>
        <v>0</v>
      </c>
      <c r="C777" s="12"/>
      <c r="G777" s="7"/>
      <c r="H777" s="7"/>
    </row>
    <row r="778" spans="1:8">
      <c r="A778">
        <f t="shared" si="12"/>
        <v>-753</v>
      </c>
      <c r="B778">
        <f>IFERROR(IF(GCD(euler_n,A778)=1,1,0),0)</f>
        <v>0</v>
      </c>
      <c r="C778" s="12"/>
      <c r="G778" s="7"/>
      <c r="H778" s="7"/>
    </row>
    <row r="779" spans="1:8">
      <c r="A779">
        <f t="shared" si="12"/>
        <v>-754</v>
      </c>
      <c r="B779">
        <f>IFERROR(IF(GCD(euler_n,A779)=1,1,0),0)</f>
        <v>0</v>
      </c>
      <c r="C779" s="12"/>
      <c r="G779" s="7"/>
      <c r="H779" s="7"/>
    </row>
    <row r="780" spans="1:8">
      <c r="A780">
        <f t="shared" si="12"/>
        <v>-755</v>
      </c>
      <c r="B780">
        <f>IFERROR(IF(GCD(euler_n,A780)=1,1,0),0)</f>
        <v>0</v>
      </c>
      <c r="C780" s="12"/>
      <c r="G780" s="7"/>
      <c r="H780" s="7"/>
    </row>
    <row r="781" spans="1:8">
      <c r="A781">
        <f t="shared" si="12"/>
        <v>-756</v>
      </c>
      <c r="B781">
        <f>IFERROR(IF(GCD(euler_n,A781)=1,1,0),0)</f>
        <v>0</v>
      </c>
      <c r="C781" s="12"/>
      <c r="G781" s="7"/>
      <c r="H781" s="7"/>
    </row>
    <row r="782" spans="1:8">
      <c r="A782">
        <f t="shared" si="12"/>
        <v>-757</v>
      </c>
      <c r="B782">
        <f>IFERROR(IF(GCD(euler_n,A782)=1,1,0),0)</f>
        <v>0</v>
      </c>
      <c r="C782" s="12"/>
      <c r="G782" s="7"/>
      <c r="H782" s="7"/>
    </row>
    <row r="783" spans="1:8">
      <c r="A783">
        <f t="shared" si="12"/>
        <v>-758</v>
      </c>
      <c r="B783">
        <f>IFERROR(IF(GCD(euler_n,A783)=1,1,0),0)</f>
        <v>0</v>
      </c>
      <c r="C783" s="12"/>
      <c r="G783" s="7"/>
      <c r="H783" s="7"/>
    </row>
    <row r="784" spans="1:8">
      <c r="A784">
        <f t="shared" si="12"/>
        <v>-759</v>
      </c>
      <c r="B784">
        <f>IFERROR(IF(GCD(euler_n,A784)=1,1,0),0)</f>
        <v>0</v>
      </c>
      <c r="C784" s="12"/>
      <c r="G784" s="7"/>
      <c r="H784" s="7"/>
    </row>
    <row r="785" spans="1:8">
      <c r="A785">
        <f t="shared" si="12"/>
        <v>-760</v>
      </c>
      <c r="B785">
        <f>IFERROR(IF(GCD(euler_n,A785)=1,1,0),0)</f>
        <v>0</v>
      </c>
      <c r="C785" s="12"/>
      <c r="G785" s="7"/>
      <c r="H785" s="7"/>
    </row>
    <row r="786" spans="1:8">
      <c r="A786">
        <f t="shared" si="12"/>
        <v>-761</v>
      </c>
      <c r="B786">
        <f>IFERROR(IF(GCD(euler_n,A786)=1,1,0),0)</f>
        <v>0</v>
      </c>
      <c r="C786" s="12"/>
      <c r="G786" s="7"/>
      <c r="H786" s="7"/>
    </row>
    <row r="787" spans="1:8">
      <c r="A787">
        <f t="shared" si="12"/>
        <v>-762</v>
      </c>
      <c r="B787">
        <f>IFERROR(IF(GCD(euler_n,A787)=1,1,0),0)</f>
        <v>0</v>
      </c>
      <c r="C787" s="12"/>
      <c r="G787" s="7"/>
      <c r="H787" s="7"/>
    </row>
    <row r="788" spans="1:8">
      <c r="A788">
        <f t="shared" si="12"/>
        <v>-763</v>
      </c>
      <c r="B788">
        <f>IFERROR(IF(GCD(euler_n,A788)=1,1,0),0)</f>
        <v>0</v>
      </c>
      <c r="C788" s="12"/>
      <c r="G788" s="7"/>
      <c r="H788" s="7"/>
    </row>
    <row r="789" spans="1:8">
      <c r="A789">
        <f t="shared" si="12"/>
        <v>-764</v>
      </c>
      <c r="B789">
        <f>IFERROR(IF(GCD(euler_n,A789)=1,1,0),0)</f>
        <v>0</v>
      </c>
      <c r="C789" s="12"/>
      <c r="G789" s="7"/>
      <c r="H789" s="7"/>
    </row>
    <row r="790" spans="1:8">
      <c r="A790">
        <f t="shared" si="12"/>
        <v>-765</v>
      </c>
      <c r="B790">
        <f>IFERROR(IF(GCD(euler_n,A790)=1,1,0),0)</f>
        <v>0</v>
      </c>
      <c r="C790" s="12"/>
      <c r="G790" s="7"/>
      <c r="H790" s="7"/>
    </row>
    <row r="791" spans="1:8">
      <c r="A791">
        <f t="shared" si="12"/>
        <v>-766</v>
      </c>
      <c r="B791">
        <f>IFERROR(IF(GCD(euler_n,A791)=1,1,0),0)</f>
        <v>0</v>
      </c>
      <c r="C791" s="12"/>
      <c r="G791" s="7"/>
      <c r="H791" s="7"/>
    </row>
    <row r="792" spans="1:8">
      <c r="A792">
        <f t="shared" si="12"/>
        <v>-767</v>
      </c>
      <c r="B792">
        <f>IFERROR(IF(GCD(euler_n,A792)=1,1,0),0)</f>
        <v>0</v>
      </c>
      <c r="C792" s="12"/>
      <c r="G792" s="7"/>
      <c r="H792" s="7"/>
    </row>
    <row r="793" spans="1:8">
      <c r="A793">
        <f t="shared" si="12"/>
        <v>-768</v>
      </c>
      <c r="B793">
        <f>IFERROR(IF(GCD(euler_n,A793)=1,1,0),0)</f>
        <v>0</v>
      </c>
      <c r="C793" s="12"/>
      <c r="G793" s="7"/>
      <c r="H793" s="7"/>
    </row>
    <row r="794" spans="1:8">
      <c r="A794">
        <f t="shared" si="12"/>
        <v>-769</v>
      </c>
      <c r="B794">
        <f>IFERROR(IF(GCD(euler_n,A794)=1,1,0),0)</f>
        <v>0</v>
      </c>
      <c r="C794" s="12"/>
      <c r="G794" s="7"/>
      <c r="H794" s="7"/>
    </row>
    <row r="795" spans="1:8">
      <c r="A795">
        <f t="shared" si="12"/>
        <v>-770</v>
      </c>
      <c r="B795">
        <f>IFERROR(IF(GCD(euler_n,A795)=1,1,0),0)</f>
        <v>0</v>
      </c>
      <c r="C795" s="12"/>
      <c r="G795" s="7"/>
      <c r="H795" s="7"/>
    </row>
    <row r="796" spans="1:8">
      <c r="A796">
        <f t="shared" si="12"/>
        <v>-771</v>
      </c>
      <c r="B796">
        <f>IFERROR(IF(GCD(euler_n,A796)=1,1,0),0)</f>
        <v>0</v>
      </c>
      <c r="C796" s="12"/>
      <c r="G796" s="7"/>
      <c r="H796" s="7"/>
    </row>
    <row r="797" spans="1:8">
      <c r="A797">
        <f t="shared" si="12"/>
        <v>-772</v>
      </c>
      <c r="B797">
        <f>IFERROR(IF(GCD(euler_n,A797)=1,1,0),0)</f>
        <v>0</v>
      </c>
      <c r="C797" s="12"/>
      <c r="G797" s="7"/>
      <c r="H797" s="7"/>
    </row>
    <row r="798" spans="1:8">
      <c r="A798">
        <f t="shared" si="12"/>
        <v>-773</v>
      </c>
      <c r="B798">
        <f>IFERROR(IF(GCD(euler_n,A798)=1,1,0),0)</f>
        <v>0</v>
      </c>
      <c r="C798" s="12"/>
      <c r="G798" s="7"/>
      <c r="H798" s="7"/>
    </row>
    <row r="799" spans="1:8">
      <c r="A799">
        <f t="shared" si="12"/>
        <v>-774</v>
      </c>
      <c r="B799">
        <f>IFERROR(IF(GCD(euler_n,A799)=1,1,0),0)</f>
        <v>0</v>
      </c>
      <c r="C799" s="12"/>
      <c r="G799" s="7"/>
      <c r="H799" s="7"/>
    </row>
    <row r="800" spans="1:8">
      <c r="A800">
        <f t="shared" si="12"/>
        <v>-775</v>
      </c>
      <c r="B800">
        <f>IFERROR(IF(GCD(euler_n,A800)=1,1,0),0)</f>
        <v>0</v>
      </c>
      <c r="C800" s="12"/>
      <c r="G800" s="7"/>
      <c r="H800" s="7"/>
    </row>
    <row r="801" spans="1:8">
      <c r="A801">
        <f t="shared" si="12"/>
        <v>-776</v>
      </c>
      <c r="B801">
        <f>IFERROR(IF(GCD(euler_n,A801)=1,1,0),0)</f>
        <v>0</v>
      </c>
      <c r="C801" s="12"/>
      <c r="G801" s="7"/>
      <c r="H801" s="7"/>
    </row>
    <row r="802" spans="1:8">
      <c r="A802">
        <f t="shared" si="12"/>
        <v>-777</v>
      </c>
      <c r="B802">
        <f>IFERROR(IF(GCD(euler_n,A802)=1,1,0),0)</f>
        <v>0</v>
      </c>
      <c r="C802" s="12"/>
      <c r="G802" s="7"/>
      <c r="H802" s="7"/>
    </row>
    <row r="803" spans="1:8">
      <c r="A803">
        <f t="shared" si="12"/>
        <v>-778</v>
      </c>
      <c r="B803">
        <f>IFERROR(IF(GCD(euler_n,A803)=1,1,0),0)</f>
        <v>0</v>
      </c>
      <c r="C803" s="12"/>
      <c r="G803" s="7"/>
      <c r="H803" s="7"/>
    </row>
    <row r="804" spans="1:8">
      <c r="A804">
        <f t="shared" ref="A804:A867" si="13">A803-1</f>
        <v>-779</v>
      </c>
      <c r="B804">
        <f>IFERROR(IF(GCD(euler_n,A804)=1,1,0),0)</f>
        <v>0</v>
      </c>
      <c r="C804" s="12"/>
      <c r="G804" s="7"/>
      <c r="H804" s="7"/>
    </row>
    <row r="805" spans="1:8">
      <c r="A805">
        <f t="shared" si="13"/>
        <v>-780</v>
      </c>
      <c r="B805">
        <f>IFERROR(IF(GCD(euler_n,A805)=1,1,0),0)</f>
        <v>0</v>
      </c>
      <c r="C805" s="12"/>
      <c r="G805" s="7"/>
      <c r="H805" s="7"/>
    </row>
    <row r="806" spans="1:8">
      <c r="A806">
        <f t="shared" si="13"/>
        <v>-781</v>
      </c>
      <c r="B806">
        <f>IFERROR(IF(GCD(euler_n,A806)=1,1,0),0)</f>
        <v>0</v>
      </c>
      <c r="C806" s="12"/>
      <c r="G806" s="7"/>
      <c r="H806" s="7"/>
    </row>
    <row r="807" spans="1:8">
      <c r="A807">
        <f t="shared" si="13"/>
        <v>-782</v>
      </c>
      <c r="B807">
        <f>IFERROR(IF(GCD(euler_n,A807)=1,1,0),0)</f>
        <v>0</v>
      </c>
      <c r="C807" s="12"/>
      <c r="G807" s="7"/>
      <c r="H807" s="7"/>
    </row>
    <row r="808" spans="1:8">
      <c r="A808">
        <f t="shared" si="13"/>
        <v>-783</v>
      </c>
      <c r="B808">
        <f>IFERROR(IF(GCD(euler_n,A808)=1,1,0),0)</f>
        <v>0</v>
      </c>
      <c r="C808" s="12"/>
      <c r="G808" s="7"/>
      <c r="H808" s="7"/>
    </row>
    <row r="809" spans="1:8">
      <c r="A809">
        <f t="shared" si="13"/>
        <v>-784</v>
      </c>
      <c r="B809">
        <f>IFERROR(IF(GCD(euler_n,A809)=1,1,0),0)</f>
        <v>0</v>
      </c>
      <c r="C809" s="12"/>
      <c r="G809" s="7"/>
      <c r="H809" s="7"/>
    </row>
    <row r="810" spans="1:8">
      <c r="A810">
        <f t="shared" si="13"/>
        <v>-785</v>
      </c>
      <c r="B810">
        <f>IFERROR(IF(GCD(euler_n,A810)=1,1,0),0)</f>
        <v>0</v>
      </c>
      <c r="C810" s="12"/>
      <c r="G810" s="7"/>
      <c r="H810" s="7"/>
    </row>
    <row r="811" spans="1:8">
      <c r="A811">
        <f t="shared" si="13"/>
        <v>-786</v>
      </c>
      <c r="B811">
        <f>IFERROR(IF(GCD(euler_n,A811)=1,1,0),0)</f>
        <v>0</v>
      </c>
      <c r="C811" s="12"/>
      <c r="G811" s="7"/>
      <c r="H811" s="7"/>
    </row>
    <row r="812" spans="1:8">
      <c r="A812">
        <f t="shared" si="13"/>
        <v>-787</v>
      </c>
      <c r="B812">
        <f>IFERROR(IF(GCD(euler_n,A812)=1,1,0),0)</f>
        <v>0</v>
      </c>
      <c r="C812" s="12"/>
      <c r="G812" s="7"/>
      <c r="H812" s="7"/>
    </row>
    <row r="813" spans="1:8">
      <c r="A813">
        <f t="shared" si="13"/>
        <v>-788</v>
      </c>
      <c r="B813">
        <f>IFERROR(IF(GCD(euler_n,A813)=1,1,0),0)</f>
        <v>0</v>
      </c>
      <c r="C813" s="12"/>
      <c r="G813" s="7"/>
      <c r="H813" s="7"/>
    </row>
    <row r="814" spans="1:8">
      <c r="A814">
        <f t="shared" si="13"/>
        <v>-789</v>
      </c>
      <c r="B814">
        <f>IFERROR(IF(GCD(euler_n,A814)=1,1,0),0)</f>
        <v>0</v>
      </c>
      <c r="C814" s="12"/>
      <c r="G814" s="7"/>
      <c r="H814" s="7"/>
    </row>
    <row r="815" spans="1:8">
      <c r="A815">
        <f t="shared" si="13"/>
        <v>-790</v>
      </c>
      <c r="B815">
        <f>IFERROR(IF(GCD(euler_n,A815)=1,1,0),0)</f>
        <v>0</v>
      </c>
      <c r="C815" s="12"/>
      <c r="G815" s="7"/>
      <c r="H815" s="7"/>
    </row>
    <row r="816" spans="1:8">
      <c r="A816">
        <f t="shared" si="13"/>
        <v>-791</v>
      </c>
      <c r="B816">
        <f>IFERROR(IF(GCD(euler_n,A816)=1,1,0),0)</f>
        <v>0</v>
      </c>
      <c r="C816" s="12"/>
      <c r="G816" s="7"/>
      <c r="H816" s="7"/>
    </row>
    <row r="817" spans="1:8">
      <c r="A817">
        <f t="shared" si="13"/>
        <v>-792</v>
      </c>
      <c r="B817">
        <f>IFERROR(IF(GCD(euler_n,A817)=1,1,0),0)</f>
        <v>0</v>
      </c>
      <c r="C817" s="12"/>
      <c r="G817" s="7"/>
      <c r="H817" s="7"/>
    </row>
    <row r="818" spans="1:8">
      <c r="A818">
        <f t="shared" si="13"/>
        <v>-793</v>
      </c>
      <c r="B818">
        <f>IFERROR(IF(GCD(euler_n,A818)=1,1,0),0)</f>
        <v>0</v>
      </c>
      <c r="C818" s="12"/>
      <c r="G818" s="7"/>
      <c r="H818" s="7"/>
    </row>
    <row r="819" spans="1:8">
      <c r="A819">
        <f t="shared" si="13"/>
        <v>-794</v>
      </c>
      <c r="B819">
        <f>IFERROR(IF(GCD(euler_n,A819)=1,1,0),0)</f>
        <v>0</v>
      </c>
      <c r="C819" s="12"/>
      <c r="G819" s="7"/>
      <c r="H819" s="7"/>
    </row>
    <row r="820" spans="1:8">
      <c r="A820">
        <f t="shared" si="13"/>
        <v>-795</v>
      </c>
      <c r="B820">
        <f>IFERROR(IF(GCD(euler_n,A820)=1,1,0),0)</f>
        <v>0</v>
      </c>
      <c r="C820" s="12"/>
      <c r="G820" s="7"/>
      <c r="H820" s="7"/>
    </row>
    <row r="821" spans="1:8">
      <c r="A821">
        <f t="shared" si="13"/>
        <v>-796</v>
      </c>
      <c r="B821">
        <f>IFERROR(IF(GCD(euler_n,A821)=1,1,0),0)</f>
        <v>0</v>
      </c>
      <c r="C821" s="12"/>
      <c r="G821" s="7"/>
      <c r="H821" s="7"/>
    </row>
    <row r="822" spans="1:8">
      <c r="A822">
        <f t="shared" si="13"/>
        <v>-797</v>
      </c>
      <c r="B822">
        <f>IFERROR(IF(GCD(euler_n,A822)=1,1,0),0)</f>
        <v>0</v>
      </c>
      <c r="C822" s="12"/>
      <c r="G822" s="7"/>
      <c r="H822" s="7"/>
    </row>
    <row r="823" spans="1:8">
      <c r="A823">
        <f t="shared" si="13"/>
        <v>-798</v>
      </c>
      <c r="B823">
        <f>IFERROR(IF(GCD(euler_n,A823)=1,1,0),0)</f>
        <v>0</v>
      </c>
      <c r="C823" s="12"/>
      <c r="G823" s="7"/>
      <c r="H823" s="7"/>
    </row>
    <row r="824" spans="1:8">
      <c r="A824">
        <f t="shared" si="13"/>
        <v>-799</v>
      </c>
      <c r="B824">
        <f>IFERROR(IF(GCD(euler_n,A824)=1,1,0),0)</f>
        <v>0</v>
      </c>
      <c r="C824" s="12"/>
      <c r="G824" s="7"/>
      <c r="H824" s="7"/>
    </row>
    <row r="825" spans="1:8">
      <c r="A825">
        <f t="shared" si="13"/>
        <v>-800</v>
      </c>
      <c r="B825">
        <f>IFERROR(IF(GCD(euler_n,A825)=1,1,0),0)</f>
        <v>0</v>
      </c>
      <c r="C825" s="12"/>
      <c r="G825" s="7"/>
      <c r="H825" s="7"/>
    </row>
    <row r="826" spans="1:8">
      <c r="A826">
        <f t="shared" si="13"/>
        <v>-801</v>
      </c>
      <c r="B826">
        <f>IFERROR(IF(GCD(euler_n,A826)=1,1,0),0)</f>
        <v>0</v>
      </c>
      <c r="C826" s="12"/>
      <c r="G826" s="7"/>
      <c r="H826" s="7"/>
    </row>
    <row r="827" spans="1:8">
      <c r="A827">
        <f t="shared" si="13"/>
        <v>-802</v>
      </c>
      <c r="B827">
        <f>IFERROR(IF(GCD(euler_n,A827)=1,1,0),0)</f>
        <v>0</v>
      </c>
      <c r="C827" s="12"/>
      <c r="G827" s="7"/>
      <c r="H827" s="7"/>
    </row>
    <row r="828" spans="1:8">
      <c r="A828">
        <f t="shared" si="13"/>
        <v>-803</v>
      </c>
      <c r="B828">
        <f>IFERROR(IF(GCD(euler_n,A828)=1,1,0),0)</f>
        <v>0</v>
      </c>
      <c r="C828" s="12"/>
      <c r="G828" s="7"/>
      <c r="H828" s="7"/>
    </row>
    <row r="829" spans="1:8">
      <c r="A829">
        <f t="shared" si="13"/>
        <v>-804</v>
      </c>
      <c r="B829">
        <f>IFERROR(IF(GCD(euler_n,A829)=1,1,0),0)</f>
        <v>0</v>
      </c>
      <c r="C829" s="12"/>
      <c r="G829" s="7"/>
      <c r="H829" s="7"/>
    </row>
    <row r="830" spans="1:8">
      <c r="A830">
        <f t="shared" si="13"/>
        <v>-805</v>
      </c>
      <c r="B830">
        <f>IFERROR(IF(GCD(euler_n,A830)=1,1,0),0)</f>
        <v>0</v>
      </c>
      <c r="C830" s="12"/>
      <c r="G830" s="7"/>
      <c r="H830" s="7"/>
    </row>
    <row r="831" spans="1:8">
      <c r="A831">
        <f t="shared" si="13"/>
        <v>-806</v>
      </c>
      <c r="B831">
        <f>IFERROR(IF(GCD(euler_n,A831)=1,1,0),0)</f>
        <v>0</v>
      </c>
      <c r="C831" s="12"/>
      <c r="G831" s="7"/>
      <c r="H831" s="7"/>
    </row>
    <row r="832" spans="1:8">
      <c r="A832">
        <f t="shared" si="13"/>
        <v>-807</v>
      </c>
      <c r="B832">
        <f>IFERROR(IF(GCD(euler_n,A832)=1,1,0),0)</f>
        <v>0</v>
      </c>
      <c r="C832" s="12"/>
      <c r="G832" s="7"/>
      <c r="H832" s="7"/>
    </row>
    <row r="833" spans="1:8">
      <c r="A833">
        <f t="shared" si="13"/>
        <v>-808</v>
      </c>
      <c r="B833">
        <f>IFERROR(IF(GCD(euler_n,A833)=1,1,0),0)</f>
        <v>0</v>
      </c>
      <c r="C833" s="12"/>
      <c r="G833" s="7"/>
      <c r="H833" s="7"/>
    </row>
    <row r="834" spans="1:8">
      <c r="A834">
        <f t="shared" si="13"/>
        <v>-809</v>
      </c>
      <c r="B834">
        <f>IFERROR(IF(GCD(euler_n,A834)=1,1,0),0)</f>
        <v>0</v>
      </c>
      <c r="C834" s="12"/>
      <c r="G834" s="7"/>
      <c r="H834" s="7"/>
    </row>
    <row r="835" spans="1:8">
      <c r="A835">
        <f t="shared" si="13"/>
        <v>-810</v>
      </c>
      <c r="B835">
        <f>IFERROR(IF(GCD(euler_n,A835)=1,1,0),0)</f>
        <v>0</v>
      </c>
      <c r="C835" s="12"/>
      <c r="G835" s="7"/>
      <c r="H835" s="7"/>
    </row>
    <row r="836" spans="1:8">
      <c r="A836">
        <f t="shared" si="13"/>
        <v>-811</v>
      </c>
      <c r="B836">
        <f>IFERROR(IF(GCD(euler_n,A836)=1,1,0),0)</f>
        <v>0</v>
      </c>
      <c r="C836" s="12"/>
      <c r="G836" s="7"/>
      <c r="H836" s="7"/>
    </row>
    <row r="837" spans="1:8">
      <c r="A837">
        <f t="shared" si="13"/>
        <v>-812</v>
      </c>
      <c r="B837">
        <f>IFERROR(IF(GCD(euler_n,A837)=1,1,0),0)</f>
        <v>0</v>
      </c>
      <c r="C837" s="12"/>
      <c r="G837" s="7"/>
      <c r="H837" s="7"/>
    </row>
    <row r="838" spans="1:8">
      <c r="A838">
        <f t="shared" si="13"/>
        <v>-813</v>
      </c>
      <c r="B838">
        <f>IFERROR(IF(GCD(euler_n,A838)=1,1,0),0)</f>
        <v>0</v>
      </c>
      <c r="C838" s="12"/>
      <c r="G838" s="7"/>
      <c r="H838" s="7"/>
    </row>
    <row r="839" spans="1:8">
      <c r="A839">
        <f t="shared" si="13"/>
        <v>-814</v>
      </c>
      <c r="B839">
        <f>IFERROR(IF(GCD(euler_n,A839)=1,1,0),0)</f>
        <v>0</v>
      </c>
      <c r="C839" s="12"/>
      <c r="G839" s="7"/>
      <c r="H839" s="7"/>
    </row>
    <row r="840" spans="1:8">
      <c r="A840">
        <f t="shared" si="13"/>
        <v>-815</v>
      </c>
      <c r="B840">
        <f>IFERROR(IF(GCD(euler_n,A840)=1,1,0),0)</f>
        <v>0</v>
      </c>
      <c r="C840" s="12"/>
      <c r="G840" s="7"/>
      <c r="H840" s="7"/>
    </row>
    <row r="841" spans="1:8">
      <c r="A841">
        <f t="shared" si="13"/>
        <v>-816</v>
      </c>
      <c r="B841">
        <f>IFERROR(IF(GCD(euler_n,A841)=1,1,0),0)</f>
        <v>0</v>
      </c>
      <c r="C841" s="12"/>
      <c r="G841" s="7"/>
      <c r="H841" s="7"/>
    </row>
    <row r="842" spans="1:8">
      <c r="A842">
        <f t="shared" si="13"/>
        <v>-817</v>
      </c>
      <c r="B842">
        <f>IFERROR(IF(GCD(euler_n,A842)=1,1,0),0)</f>
        <v>0</v>
      </c>
      <c r="C842" s="12"/>
      <c r="G842" s="7"/>
      <c r="H842" s="7"/>
    </row>
    <row r="843" spans="1:8">
      <c r="A843">
        <f t="shared" si="13"/>
        <v>-818</v>
      </c>
      <c r="B843">
        <f>IFERROR(IF(GCD(euler_n,A843)=1,1,0),0)</f>
        <v>0</v>
      </c>
      <c r="C843" s="12"/>
      <c r="G843" s="7"/>
      <c r="H843" s="7"/>
    </row>
    <row r="844" spans="1:8">
      <c r="A844">
        <f t="shared" si="13"/>
        <v>-819</v>
      </c>
      <c r="B844">
        <f>IFERROR(IF(GCD(euler_n,A844)=1,1,0),0)</f>
        <v>0</v>
      </c>
      <c r="C844" s="12"/>
      <c r="G844" s="7"/>
      <c r="H844" s="7"/>
    </row>
    <row r="845" spans="1:8">
      <c r="A845">
        <f t="shared" si="13"/>
        <v>-820</v>
      </c>
      <c r="B845">
        <f>IFERROR(IF(GCD(euler_n,A845)=1,1,0),0)</f>
        <v>0</v>
      </c>
      <c r="C845" s="12"/>
      <c r="G845" s="7"/>
      <c r="H845" s="7"/>
    </row>
    <row r="846" spans="1:8">
      <c r="A846">
        <f t="shared" si="13"/>
        <v>-821</v>
      </c>
      <c r="B846">
        <f>IFERROR(IF(GCD(euler_n,A846)=1,1,0),0)</f>
        <v>0</v>
      </c>
      <c r="C846" s="12"/>
      <c r="G846" s="7"/>
      <c r="H846" s="7"/>
    </row>
    <row r="847" spans="1:8">
      <c r="A847">
        <f t="shared" si="13"/>
        <v>-822</v>
      </c>
      <c r="B847">
        <f>IFERROR(IF(GCD(euler_n,A847)=1,1,0),0)</f>
        <v>0</v>
      </c>
      <c r="C847" s="12"/>
      <c r="G847" s="7"/>
      <c r="H847" s="7"/>
    </row>
    <row r="848" spans="1:8">
      <c r="A848">
        <f t="shared" si="13"/>
        <v>-823</v>
      </c>
      <c r="B848">
        <f>IFERROR(IF(GCD(euler_n,A848)=1,1,0),0)</f>
        <v>0</v>
      </c>
      <c r="C848" s="12"/>
      <c r="G848" s="7"/>
      <c r="H848" s="7"/>
    </row>
    <row r="849" spans="1:8">
      <c r="A849">
        <f t="shared" si="13"/>
        <v>-824</v>
      </c>
      <c r="B849">
        <f>IFERROR(IF(GCD(euler_n,A849)=1,1,0),0)</f>
        <v>0</v>
      </c>
      <c r="C849" s="12"/>
      <c r="G849" s="7"/>
      <c r="H849" s="7"/>
    </row>
    <row r="850" spans="1:8">
      <c r="A850">
        <f t="shared" si="13"/>
        <v>-825</v>
      </c>
      <c r="B850">
        <f>IFERROR(IF(GCD(euler_n,A850)=1,1,0),0)</f>
        <v>0</v>
      </c>
      <c r="C850" s="12"/>
      <c r="G850" s="7"/>
      <c r="H850" s="7"/>
    </row>
    <row r="851" spans="1:8">
      <c r="A851">
        <f t="shared" si="13"/>
        <v>-826</v>
      </c>
      <c r="B851">
        <f>IFERROR(IF(GCD(euler_n,A851)=1,1,0),0)</f>
        <v>0</v>
      </c>
      <c r="C851" s="12"/>
      <c r="G851" s="7"/>
      <c r="H851" s="7"/>
    </row>
    <row r="852" spans="1:8">
      <c r="A852">
        <f t="shared" si="13"/>
        <v>-827</v>
      </c>
      <c r="B852">
        <f>IFERROR(IF(GCD(euler_n,A852)=1,1,0),0)</f>
        <v>0</v>
      </c>
      <c r="C852" s="12"/>
      <c r="G852" s="7"/>
      <c r="H852" s="7"/>
    </row>
    <row r="853" spans="1:8">
      <c r="A853">
        <f t="shared" si="13"/>
        <v>-828</v>
      </c>
      <c r="B853">
        <f>IFERROR(IF(GCD(euler_n,A853)=1,1,0),0)</f>
        <v>0</v>
      </c>
      <c r="C853" s="12"/>
      <c r="G853" s="7"/>
      <c r="H853" s="7"/>
    </row>
    <row r="854" spans="1:8">
      <c r="A854">
        <f t="shared" si="13"/>
        <v>-829</v>
      </c>
      <c r="B854">
        <f>IFERROR(IF(GCD(euler_n,A854)=1,1,0),0)</f>
        <v>0</v>
      </c>
      <c r="C854" s="12"/>
      <c r="G854" s="7"/>
      <c r="H854" s="7"/>
    </row>
    <row r="855" spans="1:8">
      <c r="A855">
        <f t="shared" si="13"/>
        <v>-830</v>
      </c>
      <c r="B855">
        <f>IFERROR(IF(GCD(euler_n,A855)=1,1,0),0)</f>
        <v>0</v>
      </c>
      <c r="C855" s="12"/>
      <c r="G855" s="7"/>
      <c r="H855" s="7"/>
    </row>
    <row r="856" spans="1:8">
      <c r="A856">
        <f t="shared" si="13"/>
        <v>-831</v>
      </c>
      <c r="B856">
        <f>IFERROR(IF(GCD(euler_n,A856)=1,1,0),0)</f>
        <v>0</v>
      </c>
      <c r="C856" s="12"/>
      <c r="G856" s="7"/>
      <c r="H856" s="7"/>
    </row>
    <row r="857" spans="1:8">
      <c r="A857">
        <f t="shared" si="13"/>
        <v>-832</v>
      </c>
      <c r="B857">
        <f>IFERROR(IF(GCD(euler_n,A857)=1,1,0),0)</f>
        <v>0</v>
      </c>
      <c r="C857" s="12"/>
      <c r="G857" s="7"/>
      <c r="H857" s="7"/>
    </row>
    <row r="858" spans="1:8">
      <c r="A858">
        <f t="shared" si="13"/>
        <v>-833</v>
      </c>
      <c r="B858">
        <f>IFERROR(IF(GCD(euler_n,A858)=1,1,0),0)</f>
        <v>0</v>
      </c>
      <c r="C858" s="12"/>
      <c r="G858" s="7"/>
      <c r="H858" s="7"/>
    </row>
    <row r="859" spans="1:8">
      <c r="A859">
        <f t="shared" si="13"/>
        <v>-834</v>
      </c>
      <c r="B859">
        <f>IFERROR(IF(GCD(euler_n,A859)=1,1,0),0)</f>
        <v>0</v>
      </c>
      <c r="C859" s="12"/>
      <c r="G859" s="7"/>
      <c r="H859" s="7"/>
    </row>
    <row r="860" spans="1:8">
      <c r="A860">
        <f t="shared" si="13"/>
        <v>-835</v>
      </c>
      <c r="B860">
        <f>IFERROR(IF(GCD(euler_n,A860)=1,1,0),0)</f>
        <v>0</v>
      </c>
      <c r="C860" s="12"/>
      <c r="G860" s="7"/>
      <c r="H860" s="7"/>
    </row>
    <row r="861" spans="1:8">
      <c r="A861">
        <f t="shared" si="13"/>
        <v>-836</v>
      </c>
      <c r="B861">
        <f>IFERROR(IF(GCD(euler_n,A861)=1,1,0),0)</f>
        <v>0</v>
      </c>
      <c r="C861" s="12"/>
      <c r="G861" s="7"/>
      <c r="H861" s="7"/>
    </row>
    <row r="862" spans="1:8">
      <c r="A862">
        <f t="shared" si="13"/>
        <v>-837</v>
      </c>
      <c r="B862">
        <f>IFERROR(IF(GCD(euler_n,A862)=1,1,0),0)</f>
        <v>0</v>
      </c>
      <c r="C862" s="12"/>
      <c r="G862" s="7"/>
      <c r="H862" s="7"/>
    </row>
    <row r="863" spans="1:8">
      <c r="A863">
        <f t="shared" si="13"/>
        <v>-838</v>
      </c>
      <c r="B863">
        <f>IFERROR(IF(GCD(euler_n,A863)=1,1,0),0)</f>
        <v>0</v>
      </c>
      <c r="C863" s="12"/>
      <c r="G863" s="7"/>
      <c r="H863" s="7"/>
    </row>
    <row r="864" spans="1:8">
      <c r="A864">
        <f t="shared" si="13"/>
        <v>-839</v>
      </c>
      <c r="B864">
        <f>IFERROR(IF(GCD(euler_n,A864)=1,1,0),0)</f>
        <v>0</v>
      </c>
      <c r="C864" s="12"/>
      <c r="G864" s="7"/>
      <c r="H864" s="7"/>
    </row>
    <row r="865" spans="1:8">
      <c r="A865">
        <f t="shared" si="13"/>
        <v>-840</v>
      </c>
      <c r="B865">
        <f>IFERROR(IF(GCD(euler_n,A865)=1,1,0),0)</f>
        <v>0</v>
      </c>
      <c r="C865" s="12"/>
      <c r="G865" s="7"/>
      <c r="H865" s="7"/>
    </row>
    <row r="866" spans="1:8">
      <c r="A866">
        <f t="shared" si="13"/>
        <v>-841</v>
      </c>
      <c r="B866">
        <f>IFERROR(IF(GCD(euler_n,A866)=1,1,0),0)</f>
        <v>0</v>
      </c>
      <c r="C866" s="12"/>
      <c r="G866" s="7"/>
      <c r="H866" s="7"/>
    </row>
    <row r="867" spans="1:8">
      <c r="A867">
        <f t="shared" si="13"/>
        <v>-842</v>
      </c>
      <c r="B867">
        <f>IFERROR(IF(GCD(euler_n,A867)=1,1,0),0)</f>
        <v>0</v>
      </c>
      <c r="C867" s="12"/>
      <c r="G867" s="7"/>
      <c r="H867" s="7"/>
    </row>
    <row r="868" spans="1:8">
      <c r="A868">
        <f t="shared" ref="A868:A931" si="14">A867-1</f>
        <v>-843</v>
      </c>
      <c r="B868">
        <f>IFERROR(IF(GCD(euler_n,A868)=1,1,0),0)</f>
        <v>0</v>
      </c>
      <c r="C868" s="12"/>
      <c r="G868" s="7"/>
      <c r="H868" s="7"/>
    </row>
    <row r="869" spans="1:8">
      <c r="A869">
        <f t="shared" si="14"/>
        <v>-844</v>
      </c>
      <c r="B869">
        <f>IFERROR(IF(GCD(euler_n,A869)=1,1,0),0)</f>
        <v>0</v>
      </c>
      <c r="C869" s="12"/>
      <c r="G869" s="7"/>
      <c r="H869" s="7"/>
    </row>
    <row r="870" spans="1:8">
      <c r="A870">
        <f t="shared" si="14"/>
        <v>-845</v>
      </c>
      <c r="B870">
        <f>IFERROR(IF(GCD(euler_n,A870)=1,1,0),0)</f>
        <v>0</v>
      </c>
      <c r="C870" s="12"/>
      <c r="G870" s="7"/>
      <c r="H870" s="7"/>
    </row>
    <row r="871" spans="1:8">
      <c r="A871">
        <f t="shared" si="14"/>
        <v>-846</v>
      </c>
      <c r="B871">
        <f>IFERROR(IF(GCD(euler_n,A871)=1,1,0),0)</f>
        <v>0</v>
      </c>
      <c r="C871" s="12"/>
      <c r="G871" s="7"/>
      <c r="H871" s="7"/>
    </row>
    <row r="872" spans="1:8">
      <c r="A872">
        <f t="shared" si="14"/>
        <v>-847</v>
      </c>
      <c r="B872">
        <f>IFERROR(IF(GCD(euler_n,A872)=1,1,0),0)</f>
        <v>0</v>
      </c>
      <c r="C872" s="12"/>
      <c r="G872" s="7"/>
      <c r="H872" s="7"/>
    </row>
    <row r="873" spans="1:8">
      <c r="A873">
        <f t="shared" si="14"/>
        <v>-848</v>
      </c>
      <c r="B873">
        <f>IFERROR(IF(GCD(euler_n,A873)=1,1,0),0)</f>
        <v>0</v>
      </c>
      <c r="C873" s="12"/>
      <c r="G873" s="7"/>
      <c r="H873" s="7"/>
    </row>
    <row r="874" spans="1:8">
      <c r="A874">
        <f t="shared" si="14"/>
        <v>-849</v>
      </c>
      <c r="B874">
        <f>IFERROR(IF(GCD(euler_n,A874)=1,1,0),0)</f>
        <v>0</v>
      </c>
      <c r="C874" s="12"/>
      <c r="G874" s="7"/>
      <c r="H874" s="7"/>
    </row>
    <row r="875" spans="1:8">
      <c r="A875">
        <f t="shared" si="14"/>
        <v>-850</v>
      </c>
      <c r="B875">
        <f>IFERROR(IF(GCD(euler_n,A875)=1,1,0),0)</f>
        <v>0</v>
      </c>
      <c r="C875" s="12"/>
      <c r="G875" s="7"/>
      <c r="H875" s="7"/>
    </row>
    <row r="876" spans="1:8">
      <c r="A876">
        <f t="shared" si="14"/>
        <v>-851</v>
      </c>
      <c r="B876">
        <f>IFERROR(IF(GCD(euler_n,A876)=1,1,0),0)</f>
        <v>0</v>
      </c>
      <c r="C876" s="12"/>
      <c r="G876" s="7"/>
      <c r="H876" s="7"/>
    </row>
    <row r="877" spans="1:8">
      <c r="A877">
        <f t="shared" si="14"/>
        <v>-852</v>
      </c>
      <c r="B877">
        <f>IFERROR(IF(GCD(euler_n,A877)=1,1,0),0)</f>
        <v>0</v>
      </c>
      <c r="C877" s="12"/>
      <c r="G877" s="7"/>
      <c r="H877" s="7"/>
    </row>
    <row r="878" spans="1:8">
      <c r="A878">
        <f t="shared" si="14"/>
        <v>-853</v>
      </c>
      <c r="B878">
        <f>IFERROR(IF(GCD(euler_n,A878)=1,1,0),0)</f>
        <v>0</v>
      </c>
      <c r="C878" s="12"/>
      <c r="G878" s="7"/>
      <c r="H878" s="7"/>
    </row>
    <row r="879" spans="1:8">
      <c r="A879">
        <f t="shared" si="14"/>
        <v>-854</v>
      </c>
      <c r="B879">
        <f>IFERROR(IF(GCD(euler_n,A879)=1,1,0),0)</f>
        <v>0</v>
      </c>
      <c r="C879" s="12"/>
      <c r="G879" s="7"/>
      <c r="H879" s="7"/>
    </row>
    <row r="880" spans="1:8">
      <c r="A880">
        <f t="shared" si="14"/>
        <v>-855</v>
      </c>
      <c r="B880">
        <f>IFERROR(IF(GCD(euler_n,A880)=1,1,0),0)</f>
        <v>0</v>
      </c>
      <c r="C880" s="12"/>
      <c r="G880" s="7"/>
      <c r="H880" s="7"/>
    </row>
    <row r="881" spans="1:8">
      <c r="A881">
        <f t="shared" si="14"/>
        <v>-856</v>
      </c>
      <c r="B881">
        <f>IFERROR(IF(GCD(euler_n,A881)=1,1,0),0)</f>
        <v>0</v>
      </c>
      <c r="C881" s="12"/>
      <c r="G881" s="7"/>
      <c r="H881" s="7"/>
    </row>
    <row r="882" spans="1:8">
      <c r="A882">
        <f t="shared" si="14"/>
        <v>-857</v>
      </c>
      <c r="B882">
        <f>IFERROR(IF(GCD(euler_n,A882)=1,1,0),0)</f>
        <v>0</v>
      </c>
      <c r="C882" s="12"/>
      <c r="G882" s="7"/>
      <c r="H882" s="7"/>
    </row>
    <row r="883" spans="1:8">
      <c r="A883">
        <f t="shared" si="14"/>
        <v>-858</v>
      </c>
      <c r="B883">
        <f>IFERROR(IF(GCD(euler_n,A883)=1,1,0),0)</f>
        <v>0</v>
      </c>
      <c r="C883" s="12"/>
      <c r="G883" s="7"/>
      <c r="H883" s="7"/>
    </row>
    <row r="884" spans="1:8">
      <c r="A884">
        <f t="shared" si="14"/>
        <v>-859</v>
      </c>
      <c r="B884">
        <f>IFERROR(IF(GCD(euler_n,A884)=1,1,0),0)</f>
        <v>0</v>
      </c>
      <c r="C884" s="12"/>
      <c r="G884" s="7"/>
      <c r="H884" s="7"/>
    </row>
    <row r="885" spans="1:8">
      <c r="A885">
        <f t="shared" si="14"/>
        <v>-860</v>
      </c>
      <c r="B885">
        <f>IFERROR(IF(GCD(euler_n,A885)=1,1,0),0)</f>
        <v>0</v>
      </c>
      <c r="C885" s="12"/>
      <c r="G885" s="7"/>
      <c r="H885" s="7"/>
    </row>
    <row r="886" spans="1:8">
      <c r="A886">
        <f t="shared" si="14"/>
        <v>-861</v>
      </c>
      <c r="B886">
        <f>IFERROR(IF(GCD(euler_n,A886)=1,1,0),0)</f>
        <v>0</v>
      </c>
      <c r="C886" s="12"/>
      <c r="G886" s="7"/>
      <c r="H886" s="7"/>
    </row>
    <row r="887" spans="1:8">
      <c r="A887">
        <f t="shared" si="14"/>
        <v>-862</v>
      </c>
      <c r="B887">
        <f>IFERROR(IF(GCD(euler_n,A887)=1,1,0),0)</f>
        <v>0</v>
      </c>
      <c r="C887" s="12"/>
      <c r="G887" s="7"/>
      <c r="H887" s="7"/>
    </row>
    <row r="888" spans="1:8">
      <c r="A888">
        <f t="shared" si="14"/>
        <v>-863</v>
      </c>
      <c r="B888">
        <f>IFERROR(IF(GCD(euler_n,A888)=1,1,0),0)</f>
        <v>0</v>
      </c>
      <c r="C888" s="12"/>
      <c r="G888" s="7"/>
      <c r="H888" s="7"/>
    </row>
    <row r="889" spans="1:8">
      <c r="A889">
        <f t="shared" si="14"/>
        <v>-864</v>
      </c>
      <c r="B889">
        <f>IFERROR(IF(GCD(euler_n,A889)=1,1,0),0)</f>
        <v>0</v>
      </c>
      <c r="C889" s="12"/>
      <c r="G889" s="7"/>
      <c r="H889" s="7"/>
    </row>
    <row r="890" spans="1:8">
      <c r="A890">
        <f t="shared" si="14"/>
        <v>-865</v>
      </c>
      <c r="B890">
        <f>IFERROR(IF(GCD(euler_n,A890)=1,1,0),0)</f>
        <v>0</v>
      </c>
      <c r="C890" s="12"/>
      <c r="G890" s="7"/>
      <c r="H890" s="7"/>
    </row>
    <row r="891" spans="1:8">
      <c r="A891">
        <f t="shared" si="14"/>
        <v>-866</v>
      </c>
      <c r="B891">
        <f>IFERROR(IF(GCD(euler_n,A891)=1,1,0),0)</f>
        <v>0</v>
      </c>
      <c r="C891" s="12"/>
      <c r="G891" s="7"/>
      <c r="H891" s="7"/>
    </row>
    <row r="892" spans="1:8">
      <c r="A892">
        <f t="shared" si="14"/>
        <v>-867</v>
      </c>
      <c r="B892">
        <f>IFERROR(IF(GCD(euler_n,A892)=1,1,0),0)</f>
        <v>0</v>
      </c>
      <c r="C892" s="12"/>
      <c r="G892" s="7"/>
      <c r="H892" s="7"/>
    </row>
    <row r="893" spans="1:8">
      <c r="A893">
        <f t="shared" si="14"/>
        <v>-868</v>
      </c>
      <c r="B893">
        <f>IFERROR(IF(GCD(euler_n,A893)=1,1,0),0)</f>
        <v>0</v>
      </c>
      <c r="C893" s="12"/>
      <c r="G893" s="7"/>
      <c r="H893" s="7"/>
    </row>
    <row r="894" spans="1:8">
      <c r="A894">
        <f t="shared" si="14"/>
        <v>-869</v>
      </c>
      <c r="B894">
        <f>IFERROR(IF(GCD(euler_n,A894)=1,1,0),0)</f>
        <v>0</v>
      </c>
      <c r="C894" s="12"/>
      <c r="G894" s="7"/>
      <c r="H894" s="7"/>
    </row>
    <row r="895" spans="1:8">
      <c r="A895">
        <f t="shared" si="14"/>
        <v>-870</v>
      </c>
      <c r="B895">
        <f>IFERROR(IF(GCD(euler_n,A895)=1,1,0),0)</f>
        <v>0</v>
      </c>
      <c r="C895" s="12"/>
      <c r="G895" s="7"/>
      <c r="H895" s="7"/>
    </row>
    <row r="896" spans="1:8">
      <c r="A896">
        <f t="shared" si="14"/>
        <v>-871</v>
      </c>
      <c r="B896">
        <f>IFERROR(IF(GCD(euler_n,A896)=1,1,0),0)</f>
        <v>0</v>
      </c>
      <c r="C896" s="12"/>
      <c r="G896" s="7"/>
      <c r="H896" s="7"/>
    </row>
    <row r="897" spans="1:8">
      <c r="A897">
        <f t="shared" si="14"/>
        <v>-872</v>
      </c>
      <c r="B897">
        <f>IFERROR(IF(GCD(euler_n,A897)=1,1,0),0)</f>
        <v>0</v>
      </c>
      <c r="C897" s="12"/>
      <c r="G897" s="7"/>
      <c r="H897" s="7"/>
    </row>
    <row r="898" spans="1:8">
      <c r="A898">
        <f t="shared" si="14"/>
        <v>-873</v>
      </c>
      <c r="B898">
        <f>IFERROR(IF(GCD(euler_n,A898)=1,1,0),0)</f>
        <v>0</v>
      </c>
      <c r="C898" s="12"/>
      <c r="G898" s="7"/>
      <c r="H898" s="7"/>
    </row>
    <row r="899" spans="1:8">
      <c r="A899">
        <f t="shared" si="14"/>
        <v>-874</v>
      </c>
      <c r="B899">
        <f>IFERROR(IF(GCD(euler_n,A899)=1,1,0),0)</f>
        <v>0</v>
      </c>
      <c r="C899" s="12"/>
      <c r="G899" s="7"/>
      <c r="H899" s="7"/>
    </row>
    <row r="900" spans="1:8">
      <c r="A900">
        <f t="shared" si="14"/>
        <v>-875</v>
      </c>
      <c r="B900">
        <f>IFERROR(IF(GCD(euler_n,A900)=1,1,0),0)</f>
        <v>0</v>
      </c>
      <c r="C900" s="12"/>
      <c r="G900" s="7"/>
      <c r="H900" s="7"/>
    </row>
    <row r="901" spans="1:8">
      <c r="A901">
        <f t="shared" si="14"/>
        <v>-876</v>
      </c>
      <c r="B901">
        <f>IFERROR(IF(GCD(euler_n,A901)=1,1,0),0)</f>
        <v>0</v>
      </c>
      <c r="C901" s="12"/>
      <c r="G901" s="7"/>
      <c r="H901" s="7"/>
    </row>
    <row r="902" spans="1:8">
      <c r="A902">
        <f t="shared" si="14"/>
        <v>-877</v>
      </c>
      <c r="B902">
        <f>IFERROR(IF(GCD(euler_n,A902)=1,1,0),0)</f>
        <v>0</v>
      </c>
      <c r="C902" s="12"/>
      <c r="G902" s="7"/>
      <c r="H902" s="7"/>
    </row>
    <row r="903" spans="1:8">
      <c r="A903">
        <f t="shared" si="14"/>
        <v>-878</v>
      </c>
      <c r="B903">
        <f>IFERROR(IF(GCD(euler_n,A903)=1,1,0),0)</f>
        <v>0</v>
      </c>
      <c r="C903" s="12"/>
      <c r="G903" s="7"/>
      <c r="H903" s="7"/>
    </row>
    <row r="904" spans="1:8">
      <c r="A904">
        <f t="shared" si="14"/>
        <v>-879</v>
      </c>
      <c r="B904">
        <f>IFERROR(IF(GCD(euler_n,A904)=1,1,0),0)</f>
        <v>0</v>
      </c>
      <c r="C904" s="12"/>
      <c r="G904" s="7"/>
      <c r="H904" s="7"/>
    </row>
    <row r="905" spans="1:8">
      <c r="A905">
        <f t="shared" si="14"/>
        <v>-880</v>
      </c>
      <c r="B905">
        <f>IFERROR(IF(GCD(euler_n,A905)=1,1,0),0)</f>
        <v>0</v>
      </c>
      <c r="C905" s="12"/>
      <c r="G905" s="7"/>
      <c r="H905" s="7"/>
    </row>
    <row r="906" spans="1:8">
      <c r="A906">
        <f t="shared" si="14"/>
        <v>-881</v>
      </c>
      <c r="B906">
        <f>IFERROR(IF(GCD(euler_n,A906)=1,1,0),0)</f>
        <v>0</v>
      </c>
      <c r="C906" s="12"/>
      <c r="G906" s="7"/>
      <c r="H906" s="7"/>
    </row>
    <row r="907" spans="1:8">
      <c r="A907">
        <f t="shared" si="14"/>
        <v>-882</v>
      </c>
      <c r="B907">
        <f>IFERROR(IF(GCD(euler_n,A907)=1,1,0),0)</f>
        <v>0</v>
      </c>
      <c r="C907" s="12"/>
      <c r="G907" s="7"/>
      <c r="H907" s="7"/>
    </row>
    <row r="908" spans="1:8">
      <c r="A908">
        <f t="shared" si="14"/>
        <v>-883</v>
      </c>
      <c r="B908">
        <f>IFERROR(IF(GCD(euler_n,A908)=1,1,0),0)</f>
        <v>0</v>
      </c>
    </row>
    <row r="909" spans="1:8">
      <c r="A909">
        <f t="shared" si="14"/>
        <v>-884</v>
      </c>
      <c r="B909">
        <f>IFERROR(IF(GCD(euler_n,A909)=1,1,0),0)</f>
        <v>0</v>
      </c>
    </row>
    <row r="910" spans="1:8">
      <c r="A910">
        <f t="shared" si="14"/>
        <v>-885</v>
      </c>
      <c r="B910">
        <f>IFERROR(IF(GCD(euler_n,A910)=1,1,0),0)</f>
        <v>0</v>
      </c>
    </row>
    <row r="911" spans="1:8">
      <c r="A911">
        <f t="shared" si="14"/>
        <v>-886</v>
      </c>
      <c r="B911">
        <f>IFERROR(IF(GCD(euler_n,A911)=1,1,0),0)</f>
        <v>0</v>
      </c>
    </row>
    <row r="912" spans="1:8">
      <c r="A912">
        <f t="shared" si="14"/>
        <v>-887</v>
      </c>
      <c r="B912">
        <f>IFERROR(IF(GCD(euler_n,A912)=1,1,0),0)</f>
        <v>0</v>
      </c>
    </row>
    <row r="913" spans="1:2">
      <c r="A913">
        <f t="shared" si="14"/>
        <v>-888</v>
      </c>
      <c r="B913">
        <f>IFERROR(IF(GCD(euler_n,A913)=1,1,0),0)</f>
        <v>0</v>
      </c>
    </row>
    <row r="914" spans="1:2">
      <c r="A914">
        <f t="shared" si="14"/>
        <v>-889</v>
      </c>
      <c r="B914">
        <f>IFERROR(IF(GCD(euler_n,A914)=1,1,0),0)</f>
        <v>0</v>
      </c>
    </row>
    <row r="915" spans="1:2">
      <c r="A915">
        <f t="shared" si="14"/>
        <v>-890</v>
      </c>
      <c r="B915">
        <f>IFERROR(IF(GCD(euler_n,A915)=1,1,0),0)</f>
        <v>0</v>
      </c>
    </row>
    <row r="916" spans="1:2">
      <c r="A916">
        <f t="shared" si="14"/>
        <v>-891</v>
      </c>
      <c r="B916">
        <f>IFERROR(IF(GCD(euler_n,A916)=1,1,0),0)</f>
        <v>0</v>
      </c>
    </row>
    <row r="917" spans="1:2">
      <c r="A917">
        <f t="shared" si="14"/>
        <v>-892</v>
      </c>
      <c r="B917">
        <f>IFERROR(IF(GCD(euler_n,A917)=1,1,0),0)</f>
        <v>0</v>
      </c>
    </row>
    <row r="918" spans="1:2">
      <c r="A918">
        <f t="shared" si="14"/>
        <v>-893</v>
      </c>
      <c r="B918">
        <f>IFERROR(IF(GCD(euler_n,A918)=1,1,0),0)</f>
        <v>0</v>
      </c>
    </row>
    <row r="919" spans="1:2">
      <c r="A919">
        <f t="shared" si="14"/>
        <v>-894</v>
      </c>
      <c r="B919">
        <f>IFERROR(IF(GCD(euler_n,A919)=1,1,0),0)</f>
        <v>0</v>
      </c>
    </row>
    <row r="920" spans="1:2">
      <c r="A920">
        <f t="shared" si="14"/>
        <v>-895</v>
      </c>
      <c r="B920">
        <f>IFERROR(IF(GCD(euler_n,A920)=1,1,0),0)</f>
        <v>0</v>
      </c>
    </row>
    <row r="921" spans="1:2">
      <c r="A921">
        <f t="shared" si="14"/>
        <v>-896</v>
      </c>
      <c r="B921">
        <f>IFERROR(IF(GCD(euler_n,A921)=1,1,0),0)</f>
        <v>0</v>
      </c>
    </row>
    <row r="922" spans="1:2">
      <c r="A922">
        <f t="shared" si="14"/>
        <v>-897</v>
      </c>
      <c r="B922">
        <f>IFERROR(IF(GCD(euler_n,A922)=1,1,0),0)</f>
        <v>0</v>
      </c>
    </row>
    <row r="923" spans="1:2">
      <c r="A923">
        <f t="shared" si="14"/>
        <v>-898</v>
      </c>
      <c r="B923">
        <f>IFERROR(IF(GCD(euler_n,A923)=1,1,0),0)</f>
        <v>0</v>
      </c>
    </row>
    <row r="924" spans="1:2">
      <c r="A924">
        <f t="shared" si="14"/>
        <v>-899</v>
      </c>
      <c r="B924">
        <f>IFERROR(IF(GCD(euler_n,A924)=1,1,0),0)</f>
        <v>0</v>
      </c>
    </row>
    <row r="925" spans="1:2">
      <c r="A925">
        <f t="shared" si="14"/>
        <v>-900</v>
      </c>
      <c r="B925">
        <f>IFERROR(IF(GCD(euler_n,A925)=1,1,0),0)</f>
        <v>0</v>
      </c>
    </row>
    <row r="926" spans="1:2">
      <c r="A926">
        <f t="shared" si="14"/>
        <v>-901</v>
      </c>
      <c r="B926">
        <f>IFERROR(IF(GCD(euler_n,A926)=1,1,0),0)</f>
        <v>0</v>
      </c>
    </row>
    <row r="927" spans="1:2">
      <c r="A927">
        <f t="shared" si="14"/>
        <v>-902</v>
      </c>
      <c r="B927">
        <f>IFERROR(IF(GCD(euler_n,A927)=1,1,0),0)</f>
        <v>0</v>
      </c>
    </row>
    <row r="928" spans="1:2">
      <c r="A928">
        <f t="shared" si="14"/>
        <v>-903</v>
      </c>
      <c r="B928">
        <f>IFERROR(IF(GCD(euler_n,A928)=1,1,0),0)</f>
        <v>0</v>
      </c>
    </row>
    <row r="929" spans="1:2">
      <c r="A929">
        <f t="shared" si="14"/>
        <v>-904</v>
      </c>
      <c r="B929">
        <f>IFERROR(IF(GCD(euler_n,A929)=1,1,0),0)</f>
        <v>0</v>
      </c>
    </row>
    <row r="930" spans="1:2">
      <c r="A930">
        <f t="shared" si="14"/>
        <v>-905</v>
      </c>
      <c r="B930">
        <f>IFERROR(IF(GCD(euler_n,A930)=1,1,0),0)</f>
        <v>0</v>
      </c>
    </row>
    <row r="931" spans="1:2">
      <c r="A931">
        <f t="shared" si="14"/>
        <v>-906</v>
      </c>
      <c r="B931">
        <f>IFERROR(IF(GCD(euler_n,A931)=1,1,0),0)</f>
        <v>0</v>
      </c>
    </row>
    <row r="932" spans="1:2">
      <c r="A932">
        <f t="shared" ref="A932:A995" si="15">A931-1</f>
        <v>-907</v>
      </c>
      <c r="B932">
        <f>IFERROR(IF(GCD(euler_n,A932)=1,1,0),0)</f>
        <v>0</v>
      </c>
    </row>
    <row r="933" spans="1:2">
      <c r="A933">
        <f t="shared" si="15"/>
        <v>-908</v>
      </c>
      <c r="B933">
        <f>IFERROR(IF(GCD(euler_n,A933)=1,1,0),0)</f>
        <v>0</v>
      </c>
    </row>
    <row r="934" spans="1:2">
      <c r="A934">
        <f t="shared" si="15"/>
        <v>-909</v>
      </c>
      <c r="B934">
        <f>IFERROR(IF(GCD(euler_n,A934)=1,1,0),0)</f>
        <v>0</v>
      </c>
    </row>
    <row r="935" spans="1:2">
      <c r="A935">
        <f t="shared" si="15"/>
        <v>-910</v>
      </c>
      <c r="B935">
        <f>IFERROR(IF(GCD(euler_n,A935)=1,1,0),0)</f>
        <v>0</v>
      </c>
    </row>
    <row r="936" spans="1:2">
      <c r="A936">
        <f t="shared" si="15"/>
        <v>-911</v>
      </c>
      <c r="B936">
        <f>IFERROR(IF(GCD(euler_n,A936)=1,1,0),0)</f>
        <v>0</v>
      </c>
    </row>
    <row r="937" spans="1:2">
      <c r="A937">
        <f t="shared" si="15"/>
        <v>-912</v>
      </c>
      <c r="B937">
        <f>IFERROR(IF(GCD(euler_n,A937)=1,1,0),0)</f>
        <v>0</v>
      </c>
    </row>
    <row r="938" spans="1:2">
      <c r="A938">
        <f t="shared" si="15"/>
        <v>-913</v>
      </c>
      <c r="B938">
        <f>IFERROR(IF(GCD(euler_n,A938)=1,1,0),0)</f>
        <v>0</v>
      </c>
    </row>
    <row r="939" spans="1:2">
      <c r="A939">
        <f t="shared" si="15"/>
        <v>-914</v>
      </c>
      <c r="B939">
        <f>IFERROR(IF(GCD(euler_n,A939)=1,1,0),0)</f>
        <v>0</v>
      </c>
    </row>
    <row r="940" spans="1:2">
      <c r="A940">
        <f t="shared" si="15"/>
        <v>-915</v>
      </c>
      <c r="B940">
        <f>IFERROR(IF(GCD(euler_n,A940)=1,1,0),0)</f>
        <v>0</v>
      </c>
    </row>
    <row r="941" spans="1:2">
      <c r="A941">
        <f t="shared" si="15"/>
        <v>-916</v>
      </c>
      <c r="B941">
        <f>IFERROR(IF(GCD(euler_n,A941)=1,1,0),0)</f>
        <v>0</v>
      </c>
    </row>
    <row r="942" spans="1:2">
      <c r="A942">
        <f t="shared" si="15"/>
        <v>-917</v>
      </c>
      <c r="B942">
        <f>IFERROR(IF(GCD(euler_n,A942)=1,1,0),0)</f>
        <v>0</v>
      </c>
    </row>
    <row r="943" spans="1:2">
      <c r="A943">
        <f t="shared" si="15"/>
        <v>-918</v>
      </c>
      <c r="B943">
        <f>IFERROR(IF(GCD(euler_n,A943)=1,1,0),0)</f>
        <v>0</v>
      </c>
    </row>
    <row r="944" spans="1:2">
      <c r="A944">
        <f t="shared" si="15"/>
        <v>-919</v>
      </c>
      <c r="B944">
        <f>IFERROR(IF(GCD(euler_n,A944)=1,1,0),0)</f>
        <v>0</v>
      </c>
    </row>
    <row r="945" spans="1:2">
      <c r="A945">
        <f t="shared" si="15"/>
        <v>-920</v>
      </c>
      <c r="B945">
        <f>IFERROR(IF(GCD(euler_n,A945)=1,1,0),0)</f>
        <v>0</v>
      </c>
    </row>
    <row r="946" spans="1:2">
      <c r="A946">
        <f t="shared" si="15"/>
        <v>-921</v>
      </c>
      <c r="B946">
        <f>IFERROR(IF(GCD(euler_n,A946)=1,1,0),0)</f>
        <v>0</v>
      </c>
    </row>
    <row r="947" spans="1:2">
      <c r="A947">
        <f t="shared" si="15"/>
        <v>-922</v>
      </c>
      <c r="B947">
        <f>IFERROR(IF(GCD(euler_n,A947)=1,1,0),0)</f>
        <v>0</v>
      </c>
    </row>
    <row r="948" spans="1:2">
      <c r="A948">
        <f t="shared" si="15"/>
        <v>-923</v>
      </c>
      <c r="B948">
        <f>IFERROR(IF(GCD(euler_n,A948)=1,1,0),0)</f>
        <v>0</v>
      </c>
    </row>
    <row r="949" spans="1:2">
      <c r="A949">
        <f t="shared" si="15"/>
        <v>-924</v>
      </c>
      <c r="B949">
        <f>IFERROR(IF(GCD(euler_n,A949)=1,1,0),0)</f>
        <v>0</v>
      </c>
    </row>
    <row r="950" spans="1:2">
      <c r="A950">
        <f t="shared" si="15"/>
        <v>-925</v>
      </c>
      <c r="B950">
        <f>IFERROR(IF(GCD(euler_n,A950)=1,1,0),0)</f>
        <v>0</v>
      </c>
    </row>
    <row r="951" spans="1:2">
      <c r="A951">
        <f t="shared" si="15"/>
        <v>-926</v>
      </c>
      <c r="B951">
        <f>IFERROR(IF(GCD(euler_n,A951)=1,1,0),0)</f>
        <v>0</v>
      </c>
    </row>
    <row r="952" spans="1:2">
      <c r="A952">
        <f t="shared" si="15"/>
        <v>-927</v>
      </c>
      <c r="B952">
        <f>IFERROR(IF(GCD(euler_n,A952)=1,1,0),0)</f>
        <v>0</v>
      </c>
    </row>
    <row r="953" spans="1:2">
      <c r="A953">
        <f t="shared" si="15"/>
        <v>-928</v>
      </c>
      <c r="B953">
        <f>IFERROR(IF(GCD(euler_n,A953)=1,1,0),0)</f>
        <v>0</v>
      </c>
    </row>
    <row r="954" spans="1:2">
      <c r="A954">
        <f t="shared" si="15"/>
        <v>-929</v>
      </c>
      <c r="B954">
        <f>IFERROR(IF(GCD(euler_n,A954)=1,1,0),0)</f>
        <v>0</v>
      </c>
    </row>
    <row r="955" spans="1:2">
      <c r="A955">
        <f t="shared" si="15"/>
        <v>-930</v>
      </c>
      <c r="B955">
        <f>IFERROR(IF(GCD(euler_n,A955)=1,1,0),0)</f>
        <v>0</v>
      </c>
    </row>
    <row r="956" spans="1:2">
      <c r="A956">
        <f t="shared" si="15"/>
        <v>-931</v>
      </c>
      <c r="B956">
        <f>IFERROR(IF(GCD(euler_n,A956)=1,1,0),0)</f>
        <v>0</v>
      </c>
    </row>
    <row r="957" spans="1:2">
      <c r="A957">
        <f t="shared" si="15"/>
        <v>-932</v>
      </c>
      <c r="B957">
        <f>IFERROR(IF(GCD(euler_n,A957)=1,1,0),0)</f>
        <v>0</v>
      </c>
    </row>
    <row r="958" spans="1:2">
      <c r="A958">
        <f t="shared" si="15"/>
        <v>-933</v>
      </c>
      <c r="B958">
        <f>IFERROR(IF(GCD(euler_n,A958)=1,1,0),0)</f>
        <v>0</v>
      </c>
    </row>
    <row r="959" spans="1:2">
      <c r="A959">
        <f t="shared" si="15"/>
        <v>-934</v>
      </c>
      <c r="B959">
        <f>IFERROR(IF(GCD(euler_n,A959)=1,1,0),0)</f>
        <v>0</v>
      </c>
    </row>
    <row r="960" spans="1:2">
      <c r="A960">
        <f t="shared" si="15"/>
        <v>-935</v>
      </c>
      <c r="B960">
        <f>IFERROR(IF(GCD(euler_n,A960)=1,1,0),0)</f>
        <v>0</v>
      </c>
    </row>
    <row r="961" spans="1:2">
      <c r="A961">
        <f t="shared" si="15"/>
        <v>-936</v>
      </c>
      <c r="B961">
        <f>IFERROR(IF(GCD(euler_n,A961)=1,1,0),0)</f>
        <v>0</v>
      </c>
    </row>
    <row r="962" spans="1:2">
      <c r="A962">
        <f t="shared" si="15"/>
        <v>-937</v>
      </c>
      <c r="B962">
        <f>IFERROR(IF(GCD(euler_n,A962)=1,1,0),0)</f>
        <v>0</v>
      </c>
    </row>
    <row r="963" spans="1:2">
      <c r="A963">
        <f t="shared" si="15"/>
        <v>-938</v>
      </c>
      <c r="B963">
        <f>IFERROR(IF(GCD(euler_n,A963)=1,1,0),0)</f>
        <v>0</v>
      </c>
    </row>
    <row r="964" spans="1:2">
      <c r="A964">
        <f t="shared" si="15"/>
        <v>-939</v>
      </c>
      <c r="B964">
        <f>IFERROR(IF(GCD(euler_n,A964)=1,1,0),0)</f>
        <v>0</v>
      </c>
    </row>
    <row r="965" spans="1:2">
      <c r="A965">
        <f t="shared" si="15"/>
        <v>-940</v>
      </c>
      <c r="B965">
        <f>IFERROR(IF(GCD(euler_n,A965)=1,1,0),0)</f>
        <v>0</v>
      </c>
    </row>
    <row r="966" spans="1:2">
      <c r="A966">
        <f t="shared" si="15"/>
        <v>-941</v>
      </c>
      <c r="B966">
        <f>IFERROR(IF(GCD(euler_n,A966)=1,1,0),0)</f>
        <v>0</v>
      </c>
    </row>
    <row r="967" spans="1:2">
      <c r="A967">
        <f t="shared" si="15"/>
        <v>-942</v>
      </c>
      <c r="B967">
        <f>IFERROR(IF(GCD(euler_n,A967)=1,1,0),0)</f>
        <v>0</v>
      </c>
    </row>
    <row r="968" spans="1:2">
      <c r="A968">
        <f t="shared" si="15"/>
        <v>-943</v>
      </c>
      <c r="B968">
        <f>IFERROR(IF(GCD(euler_n,A968)=1,1,0),0)</f>
        <v>0</v>
      </c>
    </row>
    <row r="969" spans="1:2">
      <c r="A969">
        <f t="shared" si="15"/>
        <v>-944</v>
      </c>
      <c r="B969">
        <f>IFERROR(IF(GCD(euler_n,A969)=1,1,0),0)</f>
        <v>0</v>
      </c>
    </row>
    <row r="970" spans="1:2">
      <c r="A970">
        <f t="shared" si="15"/>
        <v>-945</v>
      </c>
      <c r="B970">
        <f>IFERROR(IF(GCD(euler_n,A970)=1,1,0),0)</f>
        <v>0</v>
      </c>
    </row>
    <row r="971" spans="1:2">
      <c r="A971">
        <f t="shared" si="15"/>
        <v>-946</v>
      </c>
      <c r="B971">
        <f>IFERROR(IF(GCD(euler_n,A971)=1,1,0),0)</f>
        <v>0</v>
      </c>
    </row>
    <row r="972" spans="1:2">
      <c r="A972">
        <f t="shared" si="15"/>
        <v>-947</v>
      </c>
      <c r="B972">
        <f>IFERROR(IF(GCD(euler_n,A972)=1,1,0),0)</f>
        <v>0</v>
      </c>
    </row>
    <row r="973" spans="1:2">
      <c r="A973">
        <f t="shared" si="15"/>
        <v>-948</v>
      </c>
      <c r="B973">
        <f>IFERROR(IF(GCD(euler_n,A973)=1,1,0),0)</f>
        <v>0</v>
      </c>
    </row>
    <row r="974" spans="1:2">
      <c r="A974">
        <f t="shared" si="15"/>
        <v>-949</v>
      </c>
      <c r="B974">
        <f>IFERROR(IF(GCD(euler_n,A974)=1,1,0),0)</f>
        <v>0</v>
      </c>
    </row>
    <row r="975" spans="1:2">
      <c r="A975">
        <f t="shared" si="15"/>
        <v>-950</v>
      </c>
      <c r="B975">
        <f>IFERROR(IF(GCD(euler_n,A975)=1,1,0),0)</f>
        <v>0</v>
      </c>
    </row>
    <row r="976" spans="1:2">
      <c r="A976">
        <f t="shared" si="15"/>
        <v>-951</v>
      </c>
      <c r="B976">
        <f>IFERROR(IF(GCD(euler_n,A976)=1,1,0),0)</f>
        <v>0</v>
      </c>
    </row>
    <row r="977" spans="1:2">
      <c r="A977">
        <f t="shared" si="15"/>
        <v>-952</v>
      </c>
      <c r="B977">
        <f>IFERROR(IF(GCD(euler_n,A977)=1,1,0),0)</f>
        <v>0</v>
      </c>
    </row>
    <row r="978" spans="1:2">
      <c r="A978">
        <f t="shared" si="15"/>
        <v>-953</v>
      </c>
      <c r="B978">
        <f>IFERROR(IF(GCD(euler_n,A978)=1,1,0),0)</f>
        <v>0</v>
      </c>
    </row>
    <row r="979" spans="1:2">
      <c r="A979">
        <f t="shared" si="15"/>
        <v>-954</v>
      </c>
      <c r="B979">
        <f>IFERROR(IF(GCD(euler_n,A979)=1,1,0),0)</f>
        <v>0</v>
      </c>
    </row>
    <row r="980" spans="1:2">
      <c r="A980">
        <f t="shared" si="15"/>
        <v>-955</v>
      </c>
      <c r="B980">
        <f>IFERROR(IF(GCD(euler_n,A980)=1,1,0),0)</f>
        <v>0</v>
      </c>
    </row>
    <row r="981" spans="1:2">
      <c r="A981">
        <f t="shared" si="15"/>
        <v>-956</v>
      </c>
      <c r="B981">
        <f>IFERROR(IF(GCD(euler_n,A981)=1,1,0),0)</f>
        <v>0</v>
      </c>
    </row>
    <row r="982" spans="1:2">
      <c r="A982">
        <f t="shared" si="15"/>
        <v>-957</v>
      </c>
      <c r="B982">
        <f>IFERROR(IF(GCD(euler_n,A982)=1,1,0),0)</f>
        <v>0</v>
      </c>
    </row>
    <row r="983" spans="1:2">
      <c r="A983">
        <f t="shared" si="15"/>
        <v>-958</v>
      </c>
      <c r="B983">
        <f>IFERROR(IF(GCD(euler_n,A983)=1,1,0),0)</f>
        <v>0</v>
      </c>
    </row>
    <row r="984" spans="1:2">
      <c r="A984">
        <f t="shared" si="15"/>
        <v>-959</v>
      </c>
      <c r="B984">
        <f>IFERROR(IF(GCD(euler_n,A984)=1,1,0),0)</f>
        <v>0</v>
      </c>
    </row>
    <row r="985" spans="1:2">
      <c r="A985">
        <f t="shared" si="15"/>
        <v>-960</v>
      </c>
      <c r="B985">
        <f>IFERROR(IF(GCD(euler_n,A985)=1,1,0),0)</f>
        <v>0</v>
      </c>
    </row>
    <row r="986" spans="1:2">
      <c r="A986">
        <f t="shared" si="15"/>
        <v>-961</v>
      </c>
      <c r="B986">
        <f>IFERROR(IF(GCD(euler_n,A986)=1,1,0),0)</f>
        <v>0</v>
      </c>
    </row>
    <row r="987" spans="1:2">
      <c r="A987">
        <f t="shared" si="15"/>
        <v>-962</v>
      </c>
      <c r="B987">
        <f>IFERROR(IF(GCD(euler_n,A987)=1,1,0),0)</f>
        <v>0</v>
      </c>
    </row>
    <row r="988" spans="1:2">
      <c r="A988">
        <f t="shared" si="15"/>
        <v>-963</v>
      </c>
      <c r="B988">
        <f>IFERROR(IF(GCD(euler_n,A988)=1,1,0),0)</f>
        <v>0</v>
      </c>
    </row>
    <row r="989" spans="1:2">
      <c r="A989">
        <f t="shared" si="15"/>
        <v>-964</v>
      </c>
      <c r="B989">
        <f>IFERROR(IF(GCD(euler_n,A989)=1,1,0),0)</f>
        <v>0</v>
      </c>
    </row>
    <row r="990" spans="1:2">
      <c r="A990">
        <f t="shared" si="15"/>
        <v>-965</v>
      </c>
      <c r="B990">
        <f>IFERROR(IF(GCD(euler_n,A990)=1,1,0),0)</f>
        <v>0</v>
      </c>
    </row>
    <row r="991" spans="1:2">
      <c r="A991">
        <f t="shared" si="15"/>
        <v>-966</v>
      </c>
      <c r="B991">
        <f>IFERROR(IF(GCD(euler_n,A991)=1,1,0),0)</f>
        <v>0</v>
      </c>
    </row>
    <row r="992" spans="1:2">
      <c r="A992">
        <f t="shared" si="15"/>
        <v>-967</v>
      </c>
      <c r="B992">
        <f>IFERROR(IF(GCD(euler_n,A992)=1,1,0),0)</f>
        <v>0</v>
      </c>
    </row>
    <row r="993" spans="1:2">
      <c r="A993">
        <f t="shared" si="15"/>
        <v>-968</v>
      </c>
      <c r="B993">
        <f>IFERROR(IF(GCD(euler_n,A993)=1,1,0),0)</f>
        <v>0</v>
      </c>
    </row>
    <row r="994" spans="1:2">
      <c r="A994">
        <f t="shared" si="15"/>
        <v>-969</v>
      </c>
      <c r="B994">
        <f>IFERROR(IF(GCD(euler_n,A994)=1,1,0),0)</f>
        <v>0</v>
      </c>
    </row>
    <row r="995" spans="1:2">
      <c r="A995">
        <f t="shared" si="15"/>
        <v>-970</v>
      </c>
      <c r="B995">
        <f>IFERROR(IF(GCD(euler_n,A995)=1,1,0),0)</f>
        <v>0</v>
      </c>
    </row>
    <row r="996" spans="1:2">
      <c r="A996">
        <f t="shared" ref="A996:A1059" si="16">A995-1</f>
        <v>-971</v>
      </c>
      <c r="B996">
        <f>IFERROR(IF(GCD(euler_n,A996)=1,1,0),0)</f>
        <v>0</v>
      </c>
    </row>
    <row r="997" spans="1:2">
      <c r="A997">
        <f t="shared" si="16"/>
        <v>-972</v>
      </c>
      <c r="B997">
        <f>IFERROR(IF(GCD(euler_n,A997)=1,1,0),0)</f>
        <v>0</v>
      </c>
    </row>
    <row r="998" spans="1:2">
      <c r="A998">
        <f t="shared" si="16"/>
        <v>-973</v>
      </c>
      <c r="B998">
        <f>IFERROR(IF(GCD(euler_n,A998)=1,1,0),0)</f>
        <v>0</v>
      </c>
    </row>
    <row r="999" spans="1:2">
      <c r="A999">
        <f t="shared" si="16"/>
        <v>-974</v>
      </c>
      <c r="B999">
        <f>IFERROR(IF(GCD(euler_n,A999)=1,1,0),0)</f>
        <v>0</v>
      </c>
    </row>
    <row r="1000" spans="1:2">
      <c r="A1000">
        <f t="shared" si="16"/>
        <v>-975</v>
      </c>
      <c r="B1000">
        <f>IFERROR(IF(GCD(euler_n,A1000)=1,1,0),0)</f>
        <v>0</v>
      </c>
    </row>
    <row r="1001" spans="1:2">
      <c r="A1001">
        <f t="shared" si="16"/>
        <v>-976</v>
      </c>
      <c r="B1001">
        <f>IFERROR(IF(GCD(euler_n,A1001)=1,1,0),0)</f>
        <v>0</v>
      </c>
    </row>
    <row r="1002" spans="1:2">
      <c r="A1002">
        <f t="shared" si="16"/>
        <v>-977</v>
      </c>
      <c r="B1002">
        <f>IFERROR(IF(GCD(euler_n,A1002)=1,1,0),0)</f>
        <v>0</v>
      </c>
    </row>
    <row r="1003" spans="1:2">
      <c r="A1003">
        <f t="shared" si="16"/>
        <v>-978</v>
      </c>
      <c r="B1003">
        <f>IFERROR(IF(GCD(euler_n,A1003)=1,1,0),0)</f>
        <v>0</v>
      </c>
    </row>
    <row r="1004" spans="1:2">
      <c r="A1004">
        <f t="shared" si="16"/>
        <v>-979</v>
      </c>
      <c r="B1004">
        <f>IFERROR(IF(GCD(euler_n,A1004)=1,1,0),0)</f>
        <v>0</v>
      </c>
    </row>
    <row r="1005" spans="1:2">
      <c r="A1005">
        <f t="shared" si="16"/>
        <v>-980</v>
      </c>
      <c r="B1005">
        <f>IFERROR(IF(GCD(euler_n,A1005)=1,1,0),0)</f>
        <v>0</v>
      </c>
    </row>
    <row r="1006" spans="1:2">
      <c r="A1006">
        <f t="shared" si="16"/>
        <v>-981</v>
      </c>
      <c r="B1006">
        <f>IFERROR(IF(GCD(euler_n,A1006)=1,1,0),0)</f>
        <v>0</v>
      </c>
    </row>
    <row r="1007" spans="1:2">
      <c r="A1007">
        <f t="shared" si="16"/>
        <v>-982</v>
      </c>
      <c r="B1007">
        <f>IFERROR(IF(GCD(euler_n,A1007)=1,1,0),0)</f>
        <v>0</v>
      </c>
    </row>
    <row r="1008" spans="1:2">
      <c r="A1008">
        <f t="shared" si="16"/>
        <v>-983</v>
      </c>
      <c r="B1008">
        <f>IFERROR(IF(GCD(euler_n,A1008)=1,1,0),0)</f>
        <v>0</v>
      </c>
    </row>
    <row r="1009" spans="1:2">
      <c r="A1009">
        <f t="shared" si="16"/>
        <v>-984</v>
      </c>
      <c r="B1009">
        <f>IFERROR(IF(GCD(euler_n,A1009)=1,1,0),0)</f>
        <v>0</v>
      </c>
    </row>
    <row r="1010" spans="1:2">
      <c r="A1010">
        <f t="shared" si="16"/>
        <v>-985</v>
      </c>
      <c r="B1010">
        <f>IFERROR(IF(GCD(euler_n,A1010)=1,1,0),0)</f>
        <v>0</v>
      </c>
    </row>
    <row r="1011" spans="1:2">
      <c r="A1011">
        <f t="shared" si="16"/>
        <v>-986</v>
      </c>
      <c r="B1011">
        <f>IFERROR(IF(GCD(euler_n,A1011)=1,1,0),0)</f>
        <v>0</v>
      </c>
    </row>
    <row r="1012" spans="1:2">
      <c r="A1012">
        <f t="shared" si="16"/>
        <v>-987</v>
      </c>
      <c r="B1012">
        <f>IFERROR(IF(GCD(euler_n,A1012)=1,1,0),0)</f>
        <v>0</v>
      </c>
    </row>
    <row r="1013" spans="1:2">
      <c r="A1013">
        <f t="shared" si="16"/>
        <v>-988</v>
      </c>
      <c r="B1013">
        <f>IFERROR(IF(GCD(euler_n,A1013)=1,1,0),0)</f>
        <v>0</v>
      </c>
    </row>
    <row r="1014" spans="1:2">
      <c r="A1014">
        <f t="shared" si="16"/>
        <v>-989</v>
      </c>
      <c r="B1014">
        <f>IFERROR(IF(GCD(euler_n,A1014)=1,1,0),0)</f>
        <v>0</v>
      </c>
    </row>
    <row r="1015" spans="1:2">
      <c r="A1015">
        <f t="shared" si="16"/>
        <v>-990</v>
      </c>
      <c r="B1015">
        <f>IFERROR(IF(GCD(euler_n,A1015)=1,1,0),0)</f>
        <v>0</v>
      </c>
    </row>
    <row r="1016" spans="1:2">
      <c r="A1016">
        <f t="shared" si="16"/>
        <v>-991</v>
      </c>
      <c r="B1016">
        <f>IFERROR(IF(GCD(euler_n,A1016)=1,1,0),0)</f>
        <v>0</v>
      </c>
    </row>
    <row r="1017" spans="1:2">
      <c r="A1017">
        <f t="shared" si="16"/>
        <v>-992</v>
      </c>
      <c r="B1017">
        <f>IFERROR(IF(GCD(euler_n,A1017)=1,1,0),0)</f>
        <v>0</v>
      </c>
    </row>
    <row r="1018" spans="1:2">
      <c r="A1018">
        <f t="shared" si="16"/>
        <v>-993</v>
      </c>
      <c r="B1018">
        <f>IFERROR(IF(GCD(euler_n,A1018)=1,1,0),0)</f>
        <v>0</v>
      </c>
    </row>
    <row r="1019" spans="1:2">
      <c r="A1019">
        <f t="shared" si="16"/>
        <v>-994</v>
      </c>
      <c r="B1019">
        <f>IFERROR(IF(GCD(euler_n,A1019)=1,1,0),0)</f>
        <v>0</v>
      </c>
    </row>
    <row r="1020" spans="1:2">
      <c r="A1020">
        <f t="shared" si="16"/>
        <v>-995</v>
      </c>
      <c r="B1020">
        <f>IFERROR(IF(GCD(euler_n,A1020)=1,1,0),0)</f>
        <v>0</v>
      </c>
    </row>
    <row r="1021" spans="1:2">
      <c r="A1021">
        <f t="shared" si="16"/>
        <v>-996</v>
      </c>
      <c r="B1021">
        <f>IFERROR(IF(GCD(euler_n,A1021)=1,1,0),0)</f>
        <v>0</v>
      </c>
    </row>
    <row r="1022" spans="1:2">
      <c r="A1022">
        <f t="shared" si="16"/>
        <v>-997</v>
      </c>
      <c r="B1022">
        <f>IFERROR(IF(GCD(euler_n,A1022)=1,1,0),0)</f>
        <v>0</v>
      </c>
    </row>
    <row r="1023" spans="1:2">
      <c r="A1023">
        <f t="shared" si="16"/>
        <v>-998</v>
      </c>
      <c r="B1023">
        <f>IFERROR(IF(GCD(euler_n,A1023)=1,1,0),0)</f>
        <v>0</v>
      </c>
    </row>
    <row r="1024" spans="1:2">
      <c r="A1024">
        <f t="shared" si="16"/>
        <v>-999</v>
      </c>
      <c r="B1024">
        <f>IFERROR(IF(GCD(euler_n,A1024)=1,1,0),0)</f>
        <v>0</v>
      </c>
    </row>
    <row r="1025" spans="1:2">
      <c r="A1025">
        <f t="shared" si="16"/>
        <v>-1000</v>
      </c>
      <c r="B1025">
        <f>IFERROR(IF(GCD(euler_n,A1025)=1,1,0),0)</f>
        <v>0</v>
      </c>
    </row>
    <row r="1026" spans="1:2">
      <c r="A1026">
        <f t="shared" si="16"/>
        <v>-1001</v>
      </c>
      <c r="B1026">
        <f>IFERROR(IF(GCD(euler_n,A1026)=1,1,0),0)</f>
        <v>0</v>
      </c>
    </row>
    <row r="1027" spans="1:2">
      <c r="A1027">
        <f t="shared" si="16"/>
        <v>-1002</v>
      </c>
      <c r="B1027">
        <f>IFERROR(IF(GCD(euler_n,A1027)=1,1,0),0)</f>
        <v>0</v>
      </c>
    </row>
    <row r="1028" spans="1:2">
      <c r="A1028">
        <f t="shared" si="16"/>
        <v>-1003</v>
      </c>
      <c r="B1028">
        <f>IFERROR(IF(GCD(euler_n,A1028)=1,1,0),0)</f>
        <v>0</v>
      </c>
    </row>
    <row r="1029" spans="1:2">
      <c r="A1029">
        <f t="shared" si="16"/>
        <v>-1004</v>
      </c>
      <c r="B1029">
        <f>IFERROR(IF(GCD(euler_n,A1029)=1,1,0),0)</f>
        <v>0</v>
      </c>
    </row>
    <row r="1030" spans="1:2">
      <c r="A1030">
        <f t="shared" si="16"/>
        <v>-1005</v>
      </c>
      <c r="B1030">
        <f>IFERROR(IF(GCD(euler_n,A1030)=1,1,0),0)</f>
        <v>0</v>
      </c>
    </row>
    <row r="1031" spans="1:2">
      <c r="A1031">
        <f t="shared" si="16"/>
        <v>-1006</v>
      </c>
      <c r="B1031">
        <f>IFERROR(IF(GCD(euler_n,A1031)=1,1,0),0)</f>
        <v>0</v>
      </c>
    </row>
    <row r="1032" spans="1:2">
      <c r="A1032">
        <f t="shared" si="16"/>
        <v>-1007</v>
      </c>
      <c r="B1032">
        <f>IFERROR(IF(GCD(euler_n,A1032)=1,1,0),0)</f>
        <v>0</v>
      </c>
    </row>
    <row r="1033" spans="1:2">
      <c r="A1033">
        <f t="shared" si="16"/>
        <v>-1008</v>
      </c>
      <c r="B1033">
        <f>IFERROR(IF(GCD(euler_n,A1033)=1,1,0),0)</f>
        <v>0</v>
      </c>
    </row>
    <row r="1034" spans="1:2">
      <c r="A1034">
        <f t="shared" si="16"/>
        <v>-1009</v>
      </c>
      <c r="B1034">
        <f>IFERROR(IF(GCD(euler_n,A1034)=1,1,0),0)</f>
        <v>0</v>
      </c>
    </row>
    <row r="1035" spans="1:2">
      <c r="A1035">
        <f t="shared" si="16"/>
        <v>-1010</v>
      </c>
      <c r="B1035">
        <f>IFERROR(IF(GCD(euler_n,A1035)=1,1,0),0)</f>
        <v>0</v>
      </c>
    </row>
    <row r="1036" spans="1:2">
      <c r="A1036">
        <f t="shared" si="16"/>
        <v>-1011</v>
      </c>
      <c r="B1036">
        <f>IFERROR(IF(GCD(euler_n,A1036)=1,1,0),0)</f>
        <v>0</v>
      </c>
    </row>
    <row r="1037" spans="1:2">
      <c r="A1037">
        <f t="shared" si="16"/>
        <v>-1012</v>
      </c>
      <c r="B1037">
        <f>IFERROR(IF(GCD(euler_n,A1037)=1,1,0),0)</f>
        <v>0</v>
      </c>
    </row>
    <row r="1038" spans="1:2">
      <c r="A1038">
        <f t="shared" si="16"/>
        <v>-1013</v>
      </c>
      <c r="B1038">
        <f>IFERROR(IF(GCD(euler_n,A1038)=1,1,0),0)</f>
        <v>0</v>
      </c>
    </row>
    <row r="1039" spans="1:2">
      <c r="A1039">
        <f t="shared" si="16"/>
        <v>-1014</v>
      </c>
      <c r="B1039">
        <f>IFERROR(IF(GCD(euler_n,A1039)=1,1,0),0)</f>
        <v>0</v>
      </c>
    </row>
    <row r="1040" spans="1:2">
      <c r="A1040">
        <f t="shared" si="16"/>
        <v>-1015</v>
      </c>
      <c r="B1040">
        <f>IFERROR(IF(GCD(euler_n,A1040)=1,1,0),0)</f>
        <v>0</v>
      </c>
    </row>
    <row r="1041" spans="1:2">
      <c r="A1041">
        <f t="shared" si="16"/>
        <v>-1016</v>
      </c>
      <c r="B1041">
        <f>IFERROR(IF(GCD(euler_n,A1041)=1,1,0),0)</f>
        <v>0</v>
      </c>
    </row>
    <row r="1042" spans="1:2">
      <c r="A1042">
        <f t="shared" si="16"/>
        <v>-1017</v>
      </c>
      <c r="B1042">
        <f>IFERROR(IF(GCD(euler_n,A1042)=1,1,0),0)</f>
        <v>0</v>
      </c>
    </row>
    <row r="1043" spans="1:2">
      <c r="A1043">
        <f t="shared" si="16"/>
        <v>-1018</v>
      </c>
      <c r="B1043">
        <f>IFERROR(IF(GCD(euler_n,A1043)=1,1,0),0)</f>
        <v>0</v>
      </c>
    </row>
    <row r="1044" spans="1:2">
      <c r="A1044">
        <f t="shared" si="16"/>
        <v>-1019</v>
      </c>
      <c r="B1044">
        <f>IFERROR(IF(GCD(euler_n,A1044)=1,1,0),0)</f>
        <v>0</v>
      </c>
    </row>
    <row r="1045" spans="1:2">
      <c r="A1045">
        <f t="shared" si="16"/>
        <v>-1020</v>
      </c>
      <c r="B1045">
        <f>IFERROR(IF(GCD(euler_n,A1045)=1,1,0),0)</f>
        <v>0</v>
      </c>
    </row>
    <row r="1046" spans="1:2">
      <c r="A1046">
        <f t="shared" si="16"/>
        <v>-1021</v>
      </c>
      <c r="B1046">
        <f>IFERROR(IF(GCD(euler_n,A1046)=1,1,0),0)</f>
        <v>0</v>
      </c>
    </row>
    <row r="1047" spans="1:2">
      <c r="A1047">
        <f t="shared" si="16"/>
        <v>-1022</v>
      </c>
      <c r="B1047">
        <f>IFERROR(IF(GCD(euler_n,A1047)=1,1,0),0)</f>
        <v>0</v>
      </c>
    </row>
    <row r="1048" spans="1:2">
      <c r="A1048">
        <f t="shared" si="16"/>
        <v>-1023</v>
      </c>
      <c r="B1048">
        <f>IFERROR(IF(GCD(euler_n,A1048)=1,1,0),0)</f>
        <v>0</v>
      </c>
    </row>
    <row r="1049" spans="1:2">
      <c r="A1049">
        <f t="shared" si="16"/>
        <v>-1024</v>
      </c>
      <c r="B1049">
        <f>IFERROR(IF(GCD(euler_n,A1049)=1,1,0),0)</f>
        <v>0</v>
      </c>
    </row>
    <row r="1050" spans="1:2">
      <c r="A1050">
        <f t="shared" si="16"/>
        <v>-1025</v>
      </c>
      <c r="B1050">
        <f>IFERROR(IF(GCD(euler_n,A1050)=1,1,0),0)</f>
        <v>0</v>
      </c>
    </row>
    <row r="1051" spans="1:2">
      <c r="A1051">
        <f t="shared" si="16"/>
        <v>-1026</v>
      </c>
      <c r="B1051">
        <f>IFERROR(IF(GCD(euler_n,A1051)=1,1,0),0)</f>
        <v>0</v>
      </c>
    </row>
    <row r="1052" spans="1:2">
      <c r="A1052">
        <f t="shared" si="16"/>
        <v>-1027</v>
      </c>
      <c r="B1052">
        <f>IFERROR(IF(GCD(euler_n,A1052)=1,1,0),0)</f>
        <v>0</v>
      </c>
    </row>
    <row r="1053" spans="1:2">
      <c r="A1053">
        <f t="shared" si="16"/>
        <v>-1028</v>
      </c>
      <c r="B1053">
        <f>IFERROR(IF(GCD(euler_n,A1053)=1,1,0),0)</f>
        <v>0</v>
      </c>
    </row>
    <row r="1054" spans="1:2">
      <c r="A1054">
        <f t="shared" si="16"/>
        <v>-1029</v>
      </c>
      <c r="B1054">
        <f>IFERROR(IF(GCD(euler_n,A1054)=1,1,0),0)</f>
        <v>0</v>
      </c>
    </row>
    <row r="1055" spans="1:2">
      <c r="A1055">
        <f t="shared" si="16"/>
        <v>-1030</v>
      </c>
      <c r="B1055">
        <f>IFERROR(IF(GCD(euler_n,A1055)=1,1,0),0)</f>
        <v>0</v>
      </c>
    </row>
    <row r="1056" spans="1:2">
      <c r="A1056">
        <f t="shared" si="16"/>
        <v>-1031</v>
      </c>
      <c r="B1056">
        <f>IFERROR(IF(GCD(euler_n,A1056)=1,1,0),0)</f>
        <v>0</v>
      </c>
    </row>
    <row r="1057" spans="1:2">
      <c r="A1057">
        <f t="shared" si="16"/>
        <v>-1032</v>
      </c>
      <c r="B1057">
        <f>IFERROR(IF(GCD(euler_n,A1057)=1,1,0),0)</f>
        <v>0</v>
      </c>
    </row>
    <row r="1058" spans="1:2">
      <c r="A1058">
        <f t="shared" si="16"/>
        <v>-1033</v>
      </c>
      <c r="B1058">
        <f>IFERROR(IF(GCD(euler_n,A1058)=1,1,0),0)</f>
        <v>0</v>
      </c>
    </row>
    <row r="1059" spans="1:2">
      <c r="A1059">
        <f t="shared" si="16"/>
        <v>-1034</v>
      </c>
      <c r="B1059">
        <f>IFERROR(IF(GCD(euler_n,A1059)=1,1,0),0)</f>
        <v>0</v>
      </c>
    </row>
    <row r="1060" spans="1:2">
      <c r="A1060">
        <f t="shared" ref="A1060:A1123" si="17">A1059-1</f>
        <v>-1035</v>
      </c>
      <c r="B1060">
        <f>IFERROR(IF(GCD(euler_n,A1060)=1,1,0),0)</f>
        <v>0</v>
      </c>
    </row>
    <row r="1061" spans="1:2">
      <c r="A1061">
        <f t="shared" si="17"/>
        <v>-1036</v>
      </c>
      <c r="B1061">
        <f>IFERROR(IF(GCD(euler_n,A1061)=1,1,0),0)</f>
        <v>0</v>
      </c>
    </row>
    <row r="1062" spans="1:2">
      <c r="A1062">
        <f t="shared" si="17"/>
        <v>-1037</v>
      </c>
      <c r="B1062">
        <f>IFERROR(IF(GCD(euler_n,A1062)=1,1,0),0)</f>
        <v>0</v>
      </c>
    </row>
    <row r="1063" spans="1:2">
      <c r="A1063">
        <f t="shared" si="17"/>
        <v>-1038</v>
      </c>
      <c r="B1063">
        <f>IFERROR(IF(GCD(euler_n,A1063)=1,1,0),0)</f>
        <v>0</v>
      </c>
    </row>
    <row r="1064" spans="1:2">
      <c r="A1064">
        <f t="shared" si="17"/>
        <v>-1039</v>
      </c>
      <c r="B1064">
        <f>IFERROR(IF(GCD(euler_n,A1064)=1,1,0),0)</f>
        <v>0</v>
      </c>
    </row>
    <row r="1065" spans="1:2">
      <c r="A1065">
        <f t="shared" si="17"/>
        <v>-1040</v>
      </c>
      <c r="B1065">
        <f>IFERROR(IF(GCD(euler_n,A1065)=1,1,0),0)</f>
        <v>0</v>
      </c>
    </row>
    <row r="1066" spans="1:2">
      <c r="A1066">
        <f t="shared" si="17"/>
        <v>-1041</v>
      </c>
      <c r="B1066">
        <f>IFERROR(IF(GCD(euler_n,A1066)=1,1,0),0)</f>
        <v>0</v>
      </c>
    </row>
    <row r="1067" spans="1:2">
      <c r="A1067">
        <f t="shared" si="17"/>
        <v>-1042</v>
      </c>
      <c r="B1067">
        <f>IFERROR(IF(GCD(euler_n,A1067)=1,1,0),0)</f>
        <v>0</v>
      </c>
    </row>
    <row r="1068" spans="1:2">
      <c r="A1068">
        <f t="shared" si="17"/>
        <v>-1043</v>
      </c>
      <c r="B1068">
        <f>IFERROR(IF(GCD(euler_n,A1068)=1,1,0),0)</f>
        <v>0</v>
      </c>
    </row>
    <row r="1069" spans="1:2">
      <c r="A1069">
        <f t="shared" si="17"/>
        <v>-1044</v>
      </c>
      <c r="B1069">
        <f>IFERROR(IF(GCD(euler_n,A1069)=1,1,0),0)</f>
        <v>0</v>
      </c>
    </row>
    <row r="1070" spans="1:2">
      <c r="A1070">
        <f t="shared" si="17"/>
        <v>-1045</v>
      </c>
      <c r="B1070">
        <f>IFERROR(IF(GCD(euler_n,A1070)=1,1,0),0)</f>
        <v>0</v>
      </c>
    </row>
    <row r="1071" spans="1:2">
      <c r="A1071">
        <f t="shared" si="17"/>
        <v>-1046</v>
      </c>
      <c r="B1071">
        <f>IFERROR(IF(GCD(euler_n,A1071)=1,1,0),0)</f>
        <v>0</v>
      </c>
    </row>
    <row r="1072" spans="1:2">
      <c r="A1072">
        <f t="shared" si="17"/>
        <v>-1047</v>
      </c>
      <c r="B1072">
        <f>IFERROR(IF(GCD(euler_n,A1072)=1,1,0),0)</f>
        <v>0</v>
      </c>
    </row>
    <row r="1073" spans="1:2">
      <c r="A1073">
        <f t="shared" si="17"/>
        <v>-1048</v>
      </c>
      <c r="B1073">
        <f>IFERROR(IF(GCD(euler_n,A1073)=1,1,0),0)</f>
        <v>0</v>
      </c>
    </row>
    <row r="1074" spans="1:2">
      <c r="A1074">
        <f t="shared" si="17"/>
        <v>-1049</v>
      </c>
      <c r="B1074">
        <f>IFERROR(IF(GCD(euler_n,A1074)=1,1,0),0)</f>
        <v>0</v>
      </c>
    </row>
    <row r="1075" spans="1:2">
      <c r="A1075">
        <f t="shared" si="17"/>
        <v>-1050</v>
      </c>
      <c r="B1075">
        <f>IFERROR(IF(GCD(euler_n,A1075)=1,1,0),0)</f>
        <v>0</v>
      </c>
    </row>
    <row r="1076" spans="1:2">
      <c r="A1076">
        <f t="shared" si="17"/>
        <v>-1051</v>
      </c>
      <c r="B1076">
        <f>IFERROR(IF(GCD(euler_n,A1076)=1,1,0),0)</f>
        <v>0</v>
      </c>
    </row>
    <row r="1077" spans="1:2">
      <c r="A1077">
        <f t="shared" si="17"/>
        <v>-1052</v>
      </c>
      <c r="B1077">
        <f>IFERROR(IF(GCD(euler_n,A1077)=1,1,0),0)</f>
        <v>0</v>
      </c>
    </row>
    <row r="1078" spans="1:2">
      <c r="A1078">
        <f t="shared" si="17"/>
        <v>-1053</v>
      </c>
      <c r="B1078">
        <f>IFERROR(IF(GCD(euler_n,A1078)=1,1,0),0)</f>
        <v>0</v>
      </c>
    </row>
    <row r="1079" spans="1:2">
      <c r="A1079">
        <f t="shared" si="17"/>
        <v>-1054</v>
      </c>
      <c r="B1079">
        <f>IFERROR(IF(GCD(euler_n,A1079)=1,1,0),0)</f>
        <v>0</v>
      </c>
    </row>
    <row r="1080" spans="1:2">
      <c r="A1080">
        <f t="shared" si="17"/>
        <v>-1055</v>
      </c>
      <c r="B1080">
        <f>IFERROR(IF(GCD(euler_n,A1080)=1,1,0),0)</f>
        <v>0</v>
      </c>
    </row>
    <row r="1081" spans="1:2">
      <c r="A1081">
        <f t="shared" si="17"/>
        <v>-1056</v>
      </c>
      <c r="B1081">
        <f>IFERROR(IF(GCD(euler_n,A1081)=1,1,0),0)</f>
        <v>0</v>
      </c>
    </row>
    <row r="1082" spans="1:2">
      <c r="A1082">
        <f t="shared" si="17"/>
        <v>-1057</v>
      </c>
      <c r="B1082">
        <f>IFERROR(IF(GCD(euler_n,A1082)=1,1,0),0)</f>
        <v>0</v>
      </c>
    </row>
    <row r="1083" spans="1:2">
      <c r="A1083">
        <f t="shared" si="17"/>
        <v>-1058</v>
      </c>
      <c r="B1083">
        <f>IFERROR(IF(GCD(euler_n,A1083)=1,1,0),0)</f>
        <v>0</v>
      </c>
    </row>
    <row r="1084" spans="1:2">
      <c r="A1084">
        <f t="shared" si="17"/>
        <v>-1059</v>
      </c>
      <c r="B1084">
        <f>IFERROR(IF(GCD(euler_n,A1084)=1,1,0),0)</f>
        <v>0</v>
      </c>
    </row>
    <row r="1085" spans="1:2">
      <c r="A1085">
        <f t="shared" si="17"/>
        <v>-1060</v>
      </c>
      <c r="B1085">
        <f>IFERROR(IF(GCD(euler_n,A1085)=1,1,0),0)</f>
        <v>0</v>
      </c>
    </row>
    <row r="1086" spans="1:2">
      <c r="A1086">
        <f t="shared" si="17"/>
        <v>-1061</v>
      </c>
      <c r="B1086">
        <f>IFERROR(IF(GCD(euler_n,A1086)=1,1,0),0)</f>
        <v>0</v>
      </c>
    </row>
    <row r="1087" spans="1:2">
      <c r="A1087">
        <f t="shared" si="17"/>
        <v>-1062</v>
      </c>
      <c r="B1087">
        <f>IFERROR(IF(GCD(euler_n,A1087)=1,1,0),0)</f>
        <v>0</v>
      </c>
    </row>
    <row r="1088" spans="1:2">
      <c r="A1088">
        <f t="shared" si="17"/>
        <v>-1063</v>
      </c>
      <c r="B1088">
        <f>IFERROR(IF(GCD(euler_n,A1088)=1,1,0),0)</f>
        <v>0</v>
      </c>
    </row>
    <row r="1089" spans="1:2">
      <c r="A1089">
        <f t="shared" si="17"/>
        <v>-1064</v>
      </c>
      <c r="B1089">
        <f>IFERROR(IF(GCD(euler_n,A1089)=1,1,0),0)</f>
        <v>0</v>
      </c>
    </row>
    <row r="1090" spans="1:2">
      <c r="A1090">
        <f t="shared" si="17"/>
        <v>-1065</v>
      </c>
      <c r="B1090">
        <f>IFERROR(IF(GCD(euler_n,A1090)=1,1,0),0)</f>
        <v>0</v>
      </c>
    </row>
    <row r="1091" spans="1:2">
      <c r="A1091">
        <f t="shared" si="17"/>
        <v>-1066</v>
      </c>
      <c r="B1091">
        <f>IFERROR(IF(GCD(euler_n,A1091)=1,1,0),0)</f>
        <v>0</v>
      </c>
    </row>
    <row r="1092" spans="1:2">
      <c r="A1092">
        <f t="shared" si="17"/>
        <v>-1067</v>
      </c>
      <c r="B1092">
        <f>IFERROR(IF(GCD(euler_n,A1092)=1,1,0),0)</f>
        <v>0</v>
      </c>
    </row>
    <row r="1093" spans="1:2">
      <c r="A1093">
        <f t="shared" si="17"/>
        <v>-1068</v>
      </c>
      <c r="B1093">
        <f>IFERROR(IF(GCD(euler_n,A1093)=1,1,0),0)</f>
        <v>0</v>
      </c>
    </row>
    <row r="1094" spans="1:2">
      <c r="A1094">
        <f t="shared" si="17"/>
        <v>-1069</v>
      </c>
      <c r="B1094">
        <f>IFERROR(IF(GCD(euler_n,A1094)=1,1,0),0)</f>
        <v>0</v>
      </c>
    </row>
    <row r="1095" spans="1:2">
      <c r="A1095">
        <f t="shared" si="17"/>
        <v>-1070</v>
      </c>
      <c r="B1095">
        <f>IFERROR(IF(GCD(euler_n,A1095)=1,1,0),0)</f>
        <v>0</v>
      </c>
    </row>
    <row r="1096" spans="1:2">
      <c r="A1096">
        <f t="shared" si="17"/>
        <v>-1071</v>
      </c>
      <c r="B1096">
        <f>IFERROR(IF(GCD(euler_n,A1096)=1,1,0),0)</f>
        <v>0</v>
      </c>
    </row>
    <row r="1097" spans="1:2">
      <c r="A1097">
        <f t="shared" si="17"/>
        <v>-1072</v>
      </c>
      <c r="B1097">
        <f>IFERROR(IF(GCD(euler_n,A1097)=1,1,0),0)</f>
        <v>0</v>
      </c>
    </row>
    <row r="1098" spans="1:2">
      <c r="A1098">
        <f t="shared" si="17"/>
        <v>-1073</v>
      </c>
      <c r="B1098">
        <f>IFERROR(IF(GCD(euler_n,A1098)=1,1,0),0)</f>
        <v>0</v>
      </c>
    </row>
    <row r="1099" spans="1:2">
      <c r="A1099">
        <f t="shared" si="17"/>
        <v>-1074</v>
      </c>
      <c r="B1099">
        <f>IFERROR(IF(GCD(euler_n,A1099)=1,1,0),0)</f>
        <v>0</v>
      </c>
    </row>
    <row r="1100" spans="1:2">
      <c r="A1100">
        <f t="shared" si="17"/>
        <v>-1075</v>
      </c>
      <c r="B1100">
        <f>IFERROR(IF(GCD(euler_n,A1100)=1,1,0),0)</f>
        <v>0</v>
      </c>
    </row>
    <row r="1101" spans="1:2">
      <c r="A1101">
        <f t="shared" si="17"/>
        <v>-1076</v>
      </c>
      <c r="B1101">
        <f>IFERROR(IF(GCD(euler_n,A1101)=1,1,0),0)</f>
        <v>0</v>
      </c>
    </row>
    <row r="1102" spans="1:2">
      <c r="A1102">
        <f t="shared" si="17"/>
        <v>-1077</v>
      </c>
      <c r="B1102">
        <f>IFERROR(IF(GCD(euler_n,A1102)=1,1,0),0)</f>
        <v>0</v>
      </c>
    </row>
    <row r="1103" spans="1:2">
      <c r="A1103">
        <f t="shared" si="17"/>
        <v>-1078</v>
      </c>
      <c r="B1103">
        <f>IFERROR(IF(GCD(euler_n,A1103)=1,1,0),0)</f>
        <v>0</v>
      </c>
    </row>
    <row r="1104" spans="1:2">
      <c r="A1104">
        <f t="shared" si="17"/>
        <v>-1079</v>
      </c>
      <c r="B1104">
        <f>IFERROR(IF(GCD(euler_n,A1104)=1,1,0),0)</f>
        <v>0</v>
      </c>
    </row>
    <row r="1105" spans="1:2">
      <c r="A1105">
        <f t="shared" si="17"/>
        <v>-1080</v>
      </c>
      <c r="B1105">
        <f>IFERROR(IF(GCD(euler_n,A1105)=1,1,0),0)</f>
        <v>0</v>
      </c>
    </row>
    <row r="1106" spans="1:2">
      <c r="A1106">
        <f t="shared" si="17"/>
        <v>-1081</v>
      </c>
      <c r="B1106">
        <f>IFERROR(IF(GCD(euler_n,A1106)=1,1,0),0)</f>
        <v>0</v>
      </c>
    </row>
    <row r="1107" spans="1:2">
      <c r="A1107">
        <f t="shared" si="17"/>
        <v>-1082</v>
      </c>
      <c r="B1107">
        <f>IFERROR(IF(GCD(euler_n,A1107)=1,1,0),0)</f>
        <v>0</v>
      </c>
    </row>
    <row r="1108" spans="1:2">
      <c r="A1108">
        <f t="shared" si="17"/>
        <v>-1083</v>
      </c>
      <c r="B1108">
        <f>IFERROR(IF(GCD(euler_n,A1108)=1,1,0),0)</f>
        <v>0</v>
      </c>
    </row>
    <row r="1109" spans="1:2">
      <c r="A1109">
        <f t="shared" si="17"/>
        <v>-1084</v>
      </c>
      <c r="B1109">
        <f>IFERROR(IF(GCD(euler_n,A1109)=1,1,0),0)</f>
        <v>0</v>
      </c>
    </row>
    <row r="1110" spans="1:2">
      <c r="A1110">
        <f t="shared" si="17"/>
        <v>-1085</v>
      </c>
      <c r="B1110">
        <f>IFERROR(IF(GCD(euler_n,A1110)=1,1,0),0)</f>
        <v>0</v>
      </c>
    </row>
    <row r="1111" spans="1:2">
      <c r="A1111">
        <f t="shared" si="17"/>
        <v>-1086</v>
      </c>
      <c r="B1111">
        <f>IFERROR(IF(GCD(euler_n,A1111)=1,1,0),0)</f>
        <v>0</v>
      </c>
    </row>
    <row r="1112" spans="1:2">
      <c r="A1112">
        <f t="shared" si="17"/>
        <v>-1087</v>
      </c>
      <c r="B1112">
        <f>IFERROR(IF(GCD(euler_n,A1112)=1,1,0),0)</f>
        <v>0</v>
      </c>
    </row>
    <row r="1113" spans="1:2">
      <c r="A1113">
        <f t="shared" si="17"/>
        <v>-1088</v>
      </c>
      <c r="B1113">
        <f>IFERROR(IF(GCD(euler_n,A1113)=1,1,0),0)</f>
        <v>0</v>
      </c>
    </row>
    <row r="1114" spans="1:2">
      <c r="A1114">
        <f t="shared" si="17"/>
        <v>-1089</v>
      </c>
      <c r="B1114">
        <f>IFERROR(IF(GCD(euler_n,A1114)=1,1,0),0)</f>
        <v>0</v>
      </c>
    </row>
    <row r="1115" spans="1:2">
      <c r="A1115">
        <f t="shared" si="17"/>
        <v>-1090</v>
      </c>
      <c r="B1115">
        <f>IFERROR(IF(GCD(euler_n,A1115)=1,1,0),0)</f>
        <v>0</v>
      </c>
    </row>
    <row r="1116" spans="1:2">
      <c r="A1116">
        <f t="shared" si="17"/>
        <v>-1091</v>
      </c>
      <c r="B1116">
        <f>IFERROR(IF(GCD(euler_n,A1116)=1,1,0),0)</f>
        <v>0</v>
      </c>
    </row>
    <row r="1117" spans="1:2">
      <c r="A1117">
        <f t="shared" si="17"/>
        <v>-1092</v>
      </c>
      <c r="B1117">
        <f>IFERROR(IF(GCD(euler_n,A1117)=1,1,0),0)</f>
        <v>0</v>
      </c>
    </row>
    <row r="1118" spans="1:2">
      <c r="A1118">
        <f t="shared" si="17"/>
        <v>-1093</v>
      </c>
      <c r="B1118">
        <f>IFERROR(IF(GCD(euler_n,A1118)=1,1,0),0)</f>
        <v>0</v>
      </c>
    </row>
    <row r="1119" spans="1:2">
      <c r="A1119">
        <f t="shared" si="17"/>
        <v>-1094</v>
      </c>
      <c r="B1119">
        <f>IFERROR(IF(GCD(euler_n,A1119)=1,1,0),0)</f>
        <v>0</v>
      </c>
    </row>
    <row r="1120" spans="1:2">
      <c r="A1120">
        <f t="shared" si="17"/>
        <v>-1095</v>
      </c>
      <c r="B1120">
        <f>IFERROR(IF(GCD(euler_n,A1120)=1,1,0),0)</f>
        <v>0</v>
      </c>
    </row>
    <row r="1121" spans="1:2">
      <c r="A1121">
        <f t="shared" si="17"/>
        <v>-1096</v>
      </c>
      <c r="B1121">
        <f>IFERROR(IF(GCD(euler_n,A1121)=1,1,0),0)</f>
        <v>0</v>
      </c>
    </row>
    <row r="1122" spans="1:2">
      <c r="A1122">
        <f t="shared" si="17"/>
        <v>-1097</v>
      </c>
      <c r="B1122">
        <f>IFERROR(IF(GCD(euler_n,A1122)=1,1,0),0)</f>
        <v>0</v>
      </c>
    </row>
    <row r="1123" spans="1:2">
      <c r="A1123">
        <f t="shared" si="17"/>
        <v>-1098</v>
      </c>
      <c r="B1123">
        <f>IFERROR(IF(GCD(euler_n,A1123)=1,1,0),0)</f>
        <v>0</v>
      </c>
    </row>
  </sheetData>
  <mergeCells count="1">
    <mergeCell ref="H8:J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2:E20"/>
  <sheetViews>
    <sheetView workbookViewId="0">
      <selection activeCell="B20" sqref="B20"/>
    </sheetView>
  </sheetViews>
  <sheetFormatPr defaultRowHeight="15"/>
  <sheetData>
    <row r="2" spans="1:5">
      <c r="A2" t="s">
        <v>15</v>
      </c>
      <c r="B2">
        <v>3</v>
      </c>
    </row>
    <row r="3" spans="1:5">
      <c r="A3" t="s">
        <v>14</v>
      </c>
      <c r="B3">
        <v>9</v>
      </c>
      <c r="C3" t="s">
        <v>46</v>
      </c>
    </row>
    <row r="4" spans="1:5">
      <c r="A4" t="s">
        <v>45</v>
      </c>
      <c r="B4">
        <v>5</v>
      </c>
    </row>
    <row r="5" spans="1:5">
      <c r="A5" t="s">
        <v>8</v>
      </c>
      <c r="B5">
        <v>13</v>
      </c>
    </row>
    <row r="8" spans="1:5">
      <c r="A8" s="80" t="s">
        <v>47</v>
      </c>
    </row>
    <row r="10" spans="1:5">
      <c r="A10">
        <f>berekenA_n</f>
        <v>13</v>
      </c>
      <c r="B10">
        <f>euler_fie</f>
        <v>12</v>
      </c>
    </row>
    <row r="15" spans="1:5">
      <c r="A15" s="80" t="s">
        <v>48</v>
      </c>
    </row>
    <row r="16" spans="1:5">
      <c r="A16" t="s">
        <v>45</v>
      </c>
      <c r="B16" t="s">
        <v>49</v>
      </c>
      <c r="C16" t="s">
        <v>50</v>
      </c>
      <c r="D16" t="s">
        <v>51</v>
      </c>
      <c r="E16">
        <v>1</v>
      </c>
    </row>
    <row r="17" spans="1:5">
      <c r="A17">
        <f>berekenA_k</f>
        <v>5</v>
      </c>
      <c r="B17">
        <f>lin_vgl_x</f>
        <v>5</v>
      </c>
      <c r="C17">
        <f>B10</f>
        <v>12</v>
      </c>
      <c r="D17">
        <f>lin_vgl_y</f>
        <v>-2</v>
      </c>
      <c r="E17">
        <v>1</v>
      </c>
    </row>
    <row r="18" spans="1:5">
      <c r="B18">
        <f>IF(B17&lt;0,CEILING(ABS(B17/C17),1)*C17,0)</f>
        <v>0</v>
      </c>
    </row>
    <row r="19" spans="1:5">
      <c r="A19" s="80" t="s">
        <v>52</v>
      </c>
    </row>
    <row r="20" spans="1:5">
      <c r="A20" t="s">
        <v>53</v>
      </c>
      <c r="B20">
        <f>B17+B18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START</vt:lpstr>
      <vt:lpstr>fast_exponentiation</vt:lpstr>
      <vt:lpstr>fast_exp_zonder_mod</vt:lpstr>
      <vt:lpstr>KLAD</vt:lpstr>
      <vt:lpstr>ggd</vt:lpstr>
      <vt:lpstr>lin_vgl</vt:lpstr>
      <vt:lpstr>delers</vt:lpstr>
      <vt:lpstr>euler fie</vt:lpstr>
      <vt:lpstr>berekenA</vt:lpstr>
      <vt:lpstr>aa</vt:lpstr>
      <vt:lpstr>bb</vt:lpstr>
      <vt:lpstr>berekenA_k</vt:lpstr>
      <vt:lpstr>berekenA_n</vt:lpstr>
      <vt:lpstr>berekenA_phi</vt:lpstr>
      <vt:lpstr>berekenA_u</vt:lpstr>
      <vt:lpstr>berekenA_X</vt:lpstr>
      <vt:lpstr>berekenA_y</vt:lpstr>
      <vt:lpstr>cc</vt:lpstr>
      <vt:lpstr>delers_deeltal</vt:lpstr>
      <vt:lpstr>delers_grens</vt:lpstr>
      <vt:lpstr>delers_kleinste_deler</vt:lpstr>
      <vt:lpstr>eucl_a</vt:lpstr>
      <vt:lpstr>eucl_b</vt:lpstr>
      <vt:lpstr>eucl_ggd</vt:lpstr>
      <vt:lpstr>eucl_x</vt:lpstr>
      <vt:lpstr>eucl_y</vt:lpstr>
      <vt:lpstr>euler_fie</vt:lpstr>
      <vt:lpstr>euler_n</vt:lpstr>
      <vt:lpstr>fast_exp_a</vt:lpstr>
      <vt:lpstr>fast_exp_b</vt:lpstr>
      <vt:lpstr>fast_exp_c</vt:lpstr>
      <vt:lpstr>fast_exp_n</vt:lpstr>
      <vt:lpstr>fast_exp_zonder_a</vt:lpstr>
      <vt:lpstr>fast_exp_zonder_b</vt:lpstr>
      <vt:lpstr>fast_exp_zonder_c</vt:lpstr>
      <vt:lpstr>lin_vgl_a</vt:lpstr>
      <vt:lpstr>lin_vgl_b</vt:lpstr>
      <vt:lpstr>lin_vgl_c</vt:lpstr>
      <vt:lpstr>lin_vgl_x</vt:lpstr>
      <vt:lpstr>lin_vgl_y</vt:lpstr>
      <vt:lpstr>nerekenA_n</vt:lpstr>
      <vt:lpstr>nn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Leen</dc:creator>
  <cp:lastModifiedBy>Sam</cp:lastModifiedBy>
  <dcterms:created xsi:type="dcterms:W3CDTF">2014-01-21T14:17:09Z</dcterms:created>
  <dcterms:modified xsi:type="dcterms:W3CDTF">2014-04-21T15:50:53Z</dcterms:modified>
</cp:coreProperties>
</file>